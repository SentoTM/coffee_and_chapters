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ba" sheetId="1" state="visible" r:id="rId3"/>
    <sheet name="Lista" sheetId="2" state="visible" r:id="rId4"/>
    <sheet name="Resumen" sheetId="3" state="visible" r:id="rId5"/>
  </sheets>
  <definedNames>
    <definedName function="false" hidden="true" localSheetId="0" name="_xlnm._FilterDatabase" vbProcedure="false">Criba!$A$1:$M$352</definedName>
    <definedName function="false" hidden="true" localSheetId="1" name="_xlnm._FilterDatabase" vbProcedure="false">Lista!$A$1:$N$352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<sst xmlns="http://schemas.openxmlformats.org/spreadsheetml/2006/main" count="6870" uniqueCount="1584">
  <si>
    <t xml:space="preserve">Nivel</t>
  </si>
  <si>
    <t xml:space="preserve">Nº</t>
  </si>
  <si>
    <t xml:space="preserve">Obra</t>
  </si>
  <si>
    <t xml:space="preserve">Título en español</t>
  </si>
  <si>
    <t xml:space="preserve">Autor</t>
  </si>
  <si>
    <t xml:space="preserve">Año</t>
  </si>
  <si>
    <t xml:space="preserve">Tipo</t>
  </si>
  <si>
    <t xml:space="preserve">Género</t>
  </si>
  <si>
    <t xml:space="preserve">Estación</t>
  </si>
  <si>
    <t xml:space="preserve">Por qué está aquí</t>
  </si>
  <si>
    <t xml:space="preserve">¿Nos lo quedamos?</t>
  </si>
  <si>
    <t xml:space="preserve">Vicen</t>
  </si>
  <si>
    <t xml:space="preserve">Andrea</t>
  </si>
  <si>
    <t xml:space="preserve">1 · Imprescindible</t>
  </si>
  <si>
    <t xml:space="preserve">1984</t>
  </si>
  <si>
    <t xml:space="preserve">George Orwell</t>
  </si>
  <si>
    <t xml:space="preserve">1949</t>
  </si>
  <si>
    <t xml:space="preserve">Novela</t>
  </si>
  <si>
    <t xml:space="preserve">Distopía</t>
  </si>
  <si>
    <t xml:space="preserve">Invierno</t>
  </si>
  <si>
    <t xml:space="preserve">Canon: obra clave de la literatura</t>
  </si>
  <si>
    <t xml:space="preserve">Sí</t>
  </si>
  <si>
    <t xml:space="preserve">Leído</t>
  </si>
  <si>
    <t xml:space="preserve">A Confederacy of Dunces</t>
  </si>
  <si>
    <t xml:space="preserve">La conjura de los necios</t>
  </si>
  <si>
    <t xml:space="preserve">John Kennedy Toole</t>
  </si>
  <si>
    <t xml:space="preserve">1980</t>
  </si>
  <si>
    <t xml:space="preserve">Comedia / sátira</t>
  </si>
  <si>
    <t xml:space="preserve">Verano</t>
  </si>
  <si>
    <t xml:space="preserve">A Room of One's Own</t>
  </si>
  <si>
    <t xml:space="preserve">Una habitación propia</t>
  </si>
  <si>
    <t xml:space="preserve">Virginia Woolf</t>
  </si>
  <si>
    <t xml:space="preserve">1929</t>
  </si>
  <si>
    <t xml:space="preserve">Ensayo</t>
  </si>
  <si>
    <t xml:space="preserve">Ensayo feminista</t>
  </si>
  <si>
    <t xml:space="preserve">Otoño</t>
  </si>
  <si>
    <t xml:space="preserve">Pendiente · en casa</t>
  </si>
  <si>
    <t xml:space="preserve">Anna Karenina</t>
  </si>
  <si>
    <t xml:space="preserve">Ana Karenina</t>
  </si>
  <si>
    <t xml:space="preserve">León Tolstói</t>
  </si>
  <si>
    <t xml:space="preserve">1878</t>
  </si>
  <si>
    <t xml:space="preserve">Clásico / drama romántico</t>
  </si>
  <si>
    <t xml:space="preserve">Pendiente · le interesa</t>
  </si>
  <si>
    <t xml:space="preserve">As I Lay Dying</t>
  </si>
  <si>
    <t xml:space="preserve">Mientras agonizo</t>
  </si>
  <si>
    <t xml:space="preserve">William Faulkner</t>
  </si>
  <si>
    <t xml:space="preserve">1930</t>
  </si>
  <si>
    <t xml:space="preserve">Modernismo / gótico sureño</t>
  </si>
  <si>
    <t xml:space="preserve">Beloved</t>
  </si>
  <si>
    <t xml:space="preserve">Toni Morrison</t>
  </si>
  <si>
    <t xml:space="preserve">1987</t>
  </si>
  <si>
    <t xml:space="preserve">Histórica / gótico</t>
  </si>
  <si>
    <t xml:space="preserve">Brave New World</t>
  </si>
  <si>
    <t xml:space="preserve">Un mundo feliz</t>
  </si>
  <si>
    <t xml:space="preserve">Aldous Huxley</t>
  </si>
  <si>
    <t xml:space="preserve">1932</t>
  </si>
  <si>
    <t xml:space="preserve">Primavera</t>
  </si>
  <si>
    <t xml:space="preserve">Candide</t>
  </si>
  <si>
    <t xml:space="preserve">Cándido, o el optimismo</t>
  </si>
  <si>
    <t xml:space="preserve">Voltaire</t>
  </si>
  <si>
    <t xml:space="preserve">1759</t>
  </si>
  <si>
    <t xml:space="preserve">Sátira filosófica</t>
  </si>
  <si>
    <t xml:space="preserve">Catch-22</t>
  </si>
  <si>
    <t xml:space="preserve">Trampa 22</t>
  </si>
  <si>
    <t xml:space="preserve">Joseph Heller</t>
  </si>
  <si>
    <t xml:space="preserve">1961</t>
  </si>
  <si>
    <t xml:space="preserve">Sátira bélica</t>
  </si>
  <si>
    <t xml:space="preserve">Crime and Punishment</t>
  </si>
  <si>
    <t xml:space="preserve">Crimen y castigo</t>
  </si>
  <si>
    <t xml:space="preserve">Fiódor Dostoievski</t>
  </si>
  <si>
    <t xml:space="preserve">1866</t>
  </si>
  <si>
    <t xml:space="preserve">Psicológica</t>
  </si>
  <si>
    <t xml:space="preserve">Leyendo</t>
  </si>
  <si>
    <t xml:space="preserve">Don Quixote</t>
  </si>
  <si>
    <t xml:space="preserve">Don Quijote de la Mancha</t>
  </si>
  <si>
    <t xml:space="preserve">Miguel de Cervantes</t>
  </si>
  <si>
    <t xml:space="preserve">1605–1615</t>
  </si>
  <si>
    <t xml:space="preserve">Clásico / parodia caballeresca</t>
  </si>
  <si>
    <t xml:space="preserve">Obligado, y en versión original</t>
  </si>
  <si>
    <t xml:space="preserve">Fahrenheit 451</t>
  </si>
  <si>
    <t xml:space="preserve">Ray Bradbury</t>
  </si>
  <si>
    <t xml:space="preserve">1953</t>
  </si>
  <si>
    <t xml:space="preserve">Distopía / ciencia ficción</t>
  </si>
  <si>
    <t xml:space="preserve">Libro sobre leer libros, en clave de distopía</t>
  </si>
  <si>
    <t xml:space="preserve">Frankenstein</t>
  </si>
  <si>
    <t xml:space="preserve">Frankenstein o el moderno Prometeo</t>
  </si>
  <si>
    <t xml:space="preserve">Mary Shelley</t>
  </si>
  <si>
    <t xml:space="preserve">1818</t>
  </si>
  <si>
    <t xml:space="preserve">Gótico / ciencia ficción</t>
  </si>
  <si>
    <t xml:space="preserve">Great Expectations</t>
  </si>
  <si>
    <t xml:space="preserve">Grandes esperanzas</t>
  </si>
  <si>
    <t xml:space="preserve">Charles Dickens</t>
  </si>
  <si>
    <t xml:space="preserve">1861</t>
  </si>
  <si>
    <t xml:space="preserve">Bildungsroman</t>
  </si>
  <si>
    <t xml:space="preserve">Hamlet</t>
  </si>
  <si>
    <t xml:space="preserve">William Shakespeare</t>
  </si>
  <si>
    <t xml:space="preserve">c. 1600</t>
  </si>
  <si>
    <t xml:space="preserve">Teatro</t>
  </si>
  <si>
    <t xml:space="preserve">Tragedia</t>
  </si>
  <si>
    <t xml:space="preserve">Heart of Darkness</t>
  </si>
  <si>
    <t xml:space="preserve">El corazón de las tinieblas</t>
  </si>
  <si>
    <t xml:space="preserve">Joseph Conrad</t>
  </si>
  <si>
    <t xml:space="preserve">1899</t>
  </si>
  <si>
    <t xml:space="preserve">Novela corta</t>
  </si>
  <si>
    <t xml:space="preserve">Clásico / colonialismo</t>
  </si>
  <si>
    <t xml:space="preserve">In Cold Blood</t>
  </si>
  <si>
    <t xml:space="preserve">A sangre fría</t>
  </si>
  <si>
    <t xml:space="preserve">Truman Capote</t>
  </si>
  <si>
    <t xml:space="preserve">1966</t>
  </si>
  <si>
    <t xml:space="preserve">No ficción</t>
  </si>
  <si>
    <t xml:space="preserve">True crime / novela de no ficción</t>
  </si>
  <si>
    <t xml:space="preserve">Jane Eyre</t>
  </si>
  <si>
    <t xml:space="preserve">Charlotte Brontë</t>
  </si>
  <si>
    <t xml:space="preserve">1847</t>
  </si>
  <si>
    <t xml:space="preserve">Gótico / romance</t>
  </si>
  <si>
    <t xml:space="preserve">Lord of the Flies</t>
  </si>
  <si>
    <t xml:space="preserve">El señor de las moscas</t>
  </si>
  <si>
    <t xml:space="preserve">William Golding</t>
  </si>
  <si>
    <t xml:space="preserve">1954</t>
  </si>
  <si>
    <t xml:space="preserve">Alegoría</t>
  </si>
  <si>
    <t xml:space="preserve">Macbeth</t>
  </si>
  <si>
    <t xml:space="preserve">c. 1606</t>
  </si>
  <si>
    <t xml:space="preserve">Madame Bovary</t>
  </si>
  <si>
    <t xml:space="preserve">Gustave Flaubert</t>
  </si>
  <si>
    <t xml:space="preserve">1857</t>
  </si>
  <si>
    <t xml:space="preserve">Realismo</t>
  </si>
  <si>
    <t xml:space="preserve">Moby-Dick</t>
  </si>
  <si>
    <t xml:space="preserve">Moby Dick</t>
  </si>
  <si>
    <t xml:space="preserve">Herman Melville</t>
  </si>
  <si>
    <t xml:space="preserve">1851</t>
  </si>
  <si>
    <t xml:space="preserve">Aventura / clásico</t>
  </si>
  <si>
    <t xml:space="preserve">Mrs. Dalloway</t>
  </si>
  <si>
    <t xml:space="preserve">La señora Dalloway</t>
  </si>
  <si>
    <t xml:space="preserve">1925</t>
  </si>
  <si>
    <t xml:space="preserve">Modernismo</t>
  </si>
  <si>
    <t xml:space="preserve">Night</t>
  </si>
  <si>
    <t xml:space="preserve">La noche</t>
  </si>
  <si>
    <t xml:space="preserve">Elie Wiesel</t>
  </si>
  <si>
    <t xml:space="preserve">1958</t>
  </si>
  <si>
    <t xml:space="preserve">Memorias</t>
  </si>
  <si>
    <t xml:space="preserve">Memorias / Holocausto</t>
  </si>
  <si>
    <t xml:space="preserve">Breve y esencial</t>
  </si>
  <si>
    <t xml:space="preserve">Of Mice and Men</t>
  </si>
  <si>
    <t xml:space="preserve">De ratones y hombres</t>
  </si>
  <si>
    <t xml:space="preserve">John Steinbeck</t>
  </si>
  <si>
    <t xml:space="preserve">1937</t>
  </si>
  <si>
    <t xml:space="preserve">Drama</t>
  </si>
  <si>
    <t xml:space="preserve">Breve: se lee en una tarde</t>
  </si>
  <si>
    <t xml:space="preserve">One Flew Over the Cuckoo's Nest</t>
  </si>
  <si>
    <t xml:space="preserve">Alguien voló sobre el nido del cuco</t>
  </si>
  <si>
    <t xml:space="preserve">Ken Kesey</t>
  </si>
  <si>
    <t xml:space="preserve">1962</t>
  </si>
  <si>
    <t xml:space="preserve">One Hundred Years of Solitude</t>
  </si>
  <si>
    <t xml:space="preserve">Cien años de soledad</t>
  </si>
  <si>
    <t xml:space="preserve">Gabriel García Márquez</t>
  </si>
  <si>
    <t xml:space="preserve">1967</t>
  </si>
  <si>
    <t xml:space="preserve">Realismo mágico</t>
  </si>
  <si>
    <t xml:space="preserve">Pride and Prejudice</t>
  </si>
  <si>
    <t xml:space="preserve">Orgullo y prejuicio</t>
  </si>
  <si>
    <t xml:space="preserve">Jane Austen</t>
  </si>
  <si>
    <t xml:space="preserve">1813</t>
  </si>
  <si>
    <t xml:space="preserve">Romance</t>
  </si>
  <si>
    <t xml:space="preserve">Rebecca</t>
  </si>
  <si>
    <t xml:space="preserve">Rebeca</t>
  </si>
  <si>
    <t xml:space="preserve">Daphne du Maurier</t>
  </si>
  <si>
    <t xml:space="preserve">1938</t>
  </si>
  <si>
    <t xml:space="preserve">Gótico / suspense</t>
  </si>
  <si>
    <t xml:space="preserve">Slaughterhouse-Five</t>
  </si>
  <si>
    <t xml:space="preserve">Matadero cinco</t>
  </si>
  <si>
    <t xml:space="preserve">Kurt Vonnegut</t>
  </si>
  <si>
    <t xml:space="preserve">1969</t>
  </si>
  <si>
    <t xml:space="preserve">Ciencia ficción / antibélica</t>
  </si>
  <si>
    <t xml:space="preserve">The Sun Also Rises</t>
  </si>
  <si>
    <t xml:space="preserve">Fiesta</t>
  </si>
  <si>
    <t xml:space="preserve">Ernest Hemingway</t>
  </si>
  <si>
    <t xml:space="preserve">1926</t>
  </si>
  <si>
    <t xml:space="preserve">Generación perdida</t>
  </si>
  <si>
    <t xml:space="preserve">Swann's Way</t>
  </si>
  <si>
    <t xml:space="preserve">Por el camino de Swann</t>
  </si>
  <si>
    <t xml:space="preserve">Marcel Proust</t>
  </si>
  <si>
    <t xml:space="preserve">1913</t>
  </si>
  <si>
    <t xml:space="preserve">The Bell Jar</t>
  </si>
  <si>
    <t xml:space="preserve">La campana de cristal</t>
  </si>
  <si>
    <t xml:space="preserve">Sylvia Plath</t>
  </si>
  <si>
    <t xml:space="preserve">1963</t>
  </si>
  <si>
    <t xml:space="preserve">Autoficción</t>
  </si>
  <si>
    <t xml:space="preserve">The Catcher in the Rye</t>
  </si>
  <si>
    <t xml:space="preserve">El guardián entre el centeno</t>
  </si>
  <si>
    <t xml:space="preserve">J. D. Salinger</t>
  </si>
  <si>
    <t xml:space="preserve">1951</t>
  </si>
  <si>
    <t xml:space="preserve">Coming-of-age</t>
  </si>
  <si>
    <t xml:space="preserve">The Divine Comedy</t>
  </si>
  <si>
    <t xml:space="preserve">La Divina Comedia</t>
  </si>
  <si>
    <t xml:space="preserve">Dante Alighieri</t>
  </si>
  <si>
    <t xml:space="preserve">c. 1321</t>
  </si>
  <si>
    <t xml:space="preserve">Poesía</t>
  </si>
  <si>
    <t xml:space="preserve">Épica / alegoría</t>
  </si>
  <si>
    <t xml:space="preserve">Incluye el Infierno (nº 112)</t>
  </si>
  <si>
    <t xml:space="preserve">The God of Small Things</t>
  </si>
  <si>
    <t xml:space="preserve">El dios de las pequeñas cosas</t>
  </si>
  <si>
    <t xml:space="preserve">Arundhati Roy</t>
  </si>
  <si>
    <t xml:space="preserve">1997</t>
  </si>
  <si>
    <t xml:space="preserve">Drama familiar</t>
  </si>
  <si>
    <t xml:space="preserve">The Grapes of Wrath</t>
  </si>
  <si>
    <t xml:space="preserve">Las uvas de la ira</t>
  </si>
  <si>
    <t xml:space="preserve">1939</t>
  </si>
  <si>
    <t xml:space="preserve">Drama social</t>
  </si>
  <si>
    <t xml:space="preserve">The Great Gatsby</t>
  </si>
  <si>
    <t xml:space="preserve">El gran Gatsby</t>
  </si>
  <si>
    <t xml:space="preserve">F. Scott Fitzgerald</t>
  </si>
  <si>
    <t xml:space="preserve">Clásico / era del jazz</t>
  </si>
  <si>
    <t xml:space="preserve">The House of the Spirits</t>
  </si>
  <si>
    <t xml:space="preserve">La casa de los espíritus</t>
  </si>
  <si>
    <t xml:space="preserve">Isabel Allende</t>
  </si>
  <si>
    <t xml:space="preserve">1982</t>
  </si>
  <si>
    <t xml:space="preserve">Releer</t>
  </si>
  <si>
    <t xml:space="preserve">The Iliad</t>
  </si>
  <si>
    <t xml:space="preserve">La Ilíada</t>
  </si>
  <si>
    <t xml:space="preserve">Homero</t>
  </si>
  <si>
    <t xml:space="preserve">s. VIII a. C. (aprox.)</t>
  </si>
  <si>
    <t xml:space="preserve">Épica</t>
  </si>
  <si>
    <t xml:space="preserve">The Master and Margarita</t>
  </si>
  <si>
    <t xml:space="preserve">El maestro y Margarita</t>
  </si>
  <si>
    <t xml:space="preserve">Mijaíl Bulgákov</t>
  </si>
  <si>
    <t xml:space="preserve">Fantasía / sátira</t>
  </si>
  <si>
    <t xml:space="preserve">The Metamorphosis</t>
  </si>
  <si>
    <t xml:space="preserve">La metamorfosis</t>
  </si>
  <si>
    <t xml:space="preserve">Franz Kafka</t>
  </si>
  <si>
    <t xml:space="preserve">1915</t>
  </si>
  <si>
    <t xml:space="preserve">Absurdo</t>
  </si>
  <si>
    <t xml:space="preserve">The Name of the Rose</t>
  </si>
  <si>
    <t xml:space="preserve">El nombre de la rosa</t>
  </si>
  <si>
    <t xml:space="preserve">Umberto Eco</t>
  </si>
  <si>
    <t xml:space="preserve">Misterio histórico</t>
  </si>
  <si>
    <t xml:space="preserve">The Picture of Dorian Gray</t>
  </si>
  <si>
    <t xml:space="preserve">El retrato de Dorian Gray</t>
  </si>
  <si>
    <t xml:space="preserve">Oscar Wilde</t>
  </si>
  <si>
    <t xml:space="preserve">1890</t>
  </si>
  <si>
    <t xml:space="preserve">Gótico / filosófica</t>
  </si>
  <si>
    <t xml:space="preserve">The Sound and the Fury</t>
  </si>
  <si>
    <t xml:space="preserve">El ruido y la furia</t>
  </si>
  <si>
    <t xml:space="preserve">Modernismo sureño</t>
  </si>
  <si>
    <t xml:space="preserve">The Trial</t>
  </si>
  <si>
    <t xml:space="preserve">El proceso</t>
  </si>
  <si>
    <t xml:space="preserve">To Kill a Mockingbird</t>
  </si>
  <si>
    <t xml:space="preserve">Matar a un ruiseñor</t>
  </si>
  <si>
    <t xml:space="preserve">Harper Lee</t>
  </si>
  <si>
    <t xml:space="preserve">1960</t>
  </si>
  <si>
    <t xml:space="preserve">Clásico / coming-of-age</t>
  </si>
  <si>
    <t xml:space="preserve">War and Peace</t>
  </si>
  <si>
    <t xml:space="preserve">Guerra y paz</t>
  </si>
  <si>
    <t xml:space="preserve">1869</t>
  </si>
  <si>
    <t xml:space="preserve">Histórica</t>
  </si>
  <si>
    <t xml:space="preserve">Wuthering Heights</t>
  </si>
  <si>
    <t xml:space="preserve">Cumbres borrascosas</t>
  </si>
  <si>
    <t xml:space="preserve">Emily Brontë</t>
  </si>
  <si>
    <t xml:space="preserve">The Odyssey</t>
  </si>
  <si>
    <t xml:space="preserve">La Odisea</t>
  </si>
  <si>
    <t xml:space="preserve">2 · Muy recomendable</t>
  </si>
  <si>
    <t xml:space="preserve">A Christmas Carol</t>
  </si>
  <si>
    <t xml:space="preserve">Canción de Navidad</t>
  </si>
  <si>
    <t xml:space="preserve">1843</t>
  </si>
  <si>
    <t xml:space="preserve">Clásico navideño / fantasía</t>
  </si>
  <si>
    <t xml:space="preserve">Clásico o gran novela muy recomendable. Andrea lo quiere leer en diciembre</t>
  </si>
  <si>
    <t xml:space="preserve">Diciembre</t>
  </si>
  <si>
    <t xml:space="preserve">A Clockwork Orange</t>
  </si>
  <si>
    <t xml:space="preserve">La naranja mecánica</t>
  </si>
  <si>
    <t xml:space="preserve">Anthony Burgess</t>
  </si>
  <si>
    <t xml:space="preserve">Clásico o gran novela muy recomendable</t>
  </si>
  <si>
    <t xml:space="preserve">A Moveable Feast</t>
  </si>
  <si>
    <t xml:space="preserve">París era una fiesta</t>
  </si>
  <si>
    <t xml:space="preserve">1964</t>
  </si>
  <si>
    <t xml:space="preserve">Memorias / París años 20</t>
  </si>
  <si>
    <t xml:space="preserve">A Passage to India</t>
  </si>
  <si>
    <t xml:space="preserve">Pasaje a la India</t>
  </si>
  <si>
    <t xml:space="preserve">E. M. Forster</t>
  </si>
  <si>
    <t xml:space="preserve">1924</t>
  </si>
  <si>
    <t xml:space="preserve">A Room with a View</t>
  </si>
  <si>
    <t xml:space="preserve">Una habitación con vistas</t>
  </si>
  <si>
    <t xml:space="preserve">1908</t>
  </si>
  <si>
    <t xml:space="preserve">Romance / costumbres</t>
  </si>
  <si>
    <t xml:space="preserve">A Streetcar Named Desire</t>
  </si>
  <si>
    <t xml:space="preserve">Un tranvía llamado deseo</t>
  </si>
  <si>
    <t xml:space="preserve">Tennessee Williams</t>
  </si>
  <si>
    <t xml:space="preserve">1947</t>
  </si>
  <si>
    <t xml:space="preserve">A Tale of Two Cities</t>
  </si>
  <si>
    <t xml:space="preserve">Historia de dos ciudades</t>
  </si>
  <si>
    <t xml:space="preserve">1859</t>
  </si>
  <si>
    <t xml:space="preserve">A Tree Grows in Brooklyn</t>
  </si>
  <si>
    <t xml:space="preserve">Un árbol crece en Brooklyn</t>
  </si>
  <si>
    <t xml:space="preserve">Betty Smith</t>
  </si>
  <si>
    <t xml:space="preserve">1943</t>
  </si>
  <si>
    <t xml:space="preserve">Angela's Ashes</t>
  </si>
  <si>
    <t xml:space="preserve">Las cenizas de Ángela</t>
  </si>
  <si>
    <t xml:space="preserve">Frank McCourt</t>
  </si>
  <si>
    <t xml:space="preserve">1996</t>
  </si>
  <si>
    <t xml:space="preserve">The Diary of a Young Girl</t>
  </si>
  <si>
    <t xml:space="preserve">Diario de Ana Frank</t>
  </si>
  <si>
    <t xml:space="preserve">Anne Frank</t>
  </si>
  <si>
    <t xml:space="preserve">Diario</t>
  </si>
  <si>
    <t xml:space="preserve">Diario / Holocausto</t>
  </si>
  <si>
    <t xml:space="preserve">Atonement</t>
  </si>
  <si>
    <t xml:space="preserve">Expiación</t>
  </si>
  <si>
    <t xml:space="preserve">Ian McEwan</t>
  </si>
  <si>
    <t xml:space="preserve">2001</t>
  </si>
  <si>
    <t xml:space="preserve">Drama / histórica</t>
  </si>
  <si>
    <t xml:space="preserve">David Copperfield</t>
  </si>
  <si>
    <t xml:space="preserve">1850</t>
  </si>
  <si>
    <t xml:space="preserve">Dead Souls</t>
  </si>
  <si>
    <t xml:space="preserve">Almas muertas</t>
  </si>
  <si>
    <t xml:space="preserve">Nikolái Gógol</t>
  </si>
  <si>
    <t xml:space="preserve">1842</t>
  </si>
  <si>
    <t xml:space="preserve">Sátira</t>
  </si>
  <si>
    <t xml:space="preserve">Death of a Salesman</t>
  </si>
  <si>
    <t xml:space="preserve">La muerte de un viajante</t>
  </si>
  <si>
    <t xml:space="preserve">Arthur Miller</t>
  </si>
  <si>
    <t xml:space="preserve">Demons</t>
  </si>
  <si>
    <t xml:space="preserve">Los demonios</t>
  </si>
  <si>
    <t xml:space="preserve">1872</t>
  </si>
  <si>
    <t xml:space="preserve">Política / psicológica</t>
  </si>
  <si>
    <t xml:space="preserve">Strange Case of Dr Jekyll and Mr Hyde</t>
  </si>
  <si>
    <t xml:space="preserve">El extraño caso del Dr. Jekyll y Mr. Hyde</t>
  </si>
  <si>
    <t xml:space="preserve">Robert Louis Stevenson</t>
  </si>
  <si>
    <t xml:space="preserve">1886</t>
  </si>
  <si>
    <t xml:space="preserve">Gótico / terror</t>
  </si>
  <si>
    <t xml:space="preserve">Emma</t>
  </si>
  <si>
    <t xml:space="preserve">1815</t>
  </si>
  <si>
    <t xml:space="preserve">Ethan Frome</t>
  </si>
  <si>
    <t xml:space="preserve">Edith Wharton</t>
  </si>
  <si>
    <t xml:space="preserve">1911</t>
  </si>
  <si>
    <t xml:space="preserve">Flowers for Algernon</t>
  </si>
  <si>
    <t xml:space="preserve">Flores para Algernon</t>
  </si>
  <si>
    <t xml:space="preserve">Daniel Keyes</t>
  </si>
  <si>
    <t xml:space="preserve">Ciencia ficción</t>
  </si>
  <si>
    <t xml:space="preserve">Franny and Zooey</t>
  </si>
  <si>
    <t xml:space="preserve">Franny y Zooey</t>
  </si>
  <si>
    <t xml:space="preserve">Ficción literaria</t>
  </si>
  <si>
    <t xml:space="preserve">Life of Pi</t>
  </si>
  <si>
    <t xml:space="preserve">Vida de Pi</t>
  </si>
  <si>
    <t xml:space="preserve">Yann Martel</t>
  </si>
  <si>
    <t xml:space="preserve">Aventura / fantasía</t>
  </si>
  <si>
    <t xml:space="preserve">Little Women</t>
  </si>
  <si>
    <t xml:space="preserve">Mujercitas</t>
  </si>
  <si>
    <t xml:space="preserve">Louisa May Alcott</t>
  </si>
  <si>
    <t xml:space="preserve">1868</t>
  </si>
  <si>
    <t xml:space="preserve">Middlesex</t>
  </si>
  <si>
    <t xml:space="preserve">Jeffrey Eugenides</t>
  </si>
  <si>
    <t xml:space="preserve">2002</t>
  </si>
  <si>
    <t xml:space="preserve">Saga familiar</t>
  </si>
  <si>
    <t xml:space="preserve">On the Road</t>
  </si>
  <si>
    <t xml:space="preserve">En el camino</t>
  </si>
  <si>
    <t xml:space="preserve">Jack Kerouac</t>
  </si>
  <si>
    <t xml:space="preserve">1957</t>
  </si>
  <si>
    <t xml:space="preserve">Beat / viajes</t>
  </si>
  <si>
    <t xml:space="preserve">Oryx and Crake</t>
  </si>
  <si>
    <t xml:space="preserve">Oryx y Crake</t>
  </si>
  <si>
    <t xml:space="preserve">Margaret Atwood</t>
  </si>
  <si>
    <t xml:space="preserve">2003</t>
  </si>
  <si>
    <t xml:space="preserve">Ciencia ficción / distopía</t>
  </si>
  <si>
    <t xml:space="preserve">Reading Lolita in Tehran: A Memoir in Books</t>
  </si>
  <si>
    <t xml:space="preserve">Leer Lolita en Teherán</t>
  </si>
  <si>
    <t xml:space="preserve">Azar Nafisi</t>
  </si>
  <si>
    <t xml:space="preserve">Memorias / crítica literaria</t>
  </si>
  <si>
    <t xml:space="preserve">Libro sobre leer libros: encaja con el reto</t>
  </si>
  <si>
    <t xml:space="preserve">Romeo and Juliet</t>
  </si>
  <si>
    <t xml:space="preserve">Romeo y Julieta</t>
  </si>
  <si>
    <t xml:space="preserve">c. 1595</t>
  </si>
  <si>
    <t xml:space="preserve">Tragedia / romance</t>
  </si>
  <si>
    <t xml:space="preserve">Sense and Sensibility</t>
  </si>
  <si>
    <t xml:space="preserve">Sentido y sensibilidad</t>
  </si>
  <si>
    <t xml:space="preserve">1811</t>
  </si>
  <si>
    <t xml:space="preserve">Siddhartha</t>
  </si>
  <si>
    <t xml:space="preserve">Hermann Hesse</t>
  </si>
  <si>
    <t xml:space="preserve">1922</t>
  </si>
  <si>
    <t xml:space="preserve">Filosófica / espiritual</t>
  </si>
  <si>
    <t xml:space="preserve">Sophie's Choice</t>
  </si>
  <si>
    <t xml:space="preserve">La decisión de Sophie</t>
  </si>
  <si>
    <t xml:space="preserve">William Styron</t>
  </si>
  <si>
    <t xml:space="preserve">1979</t>
  </si>
  <si>
    <t xml:space="preserve">Drama / Holocausto</t>
  </si>
  <si>
    <t xml:space="preserve">Speak, Memory</t>
  </si>
  <si>
    <t xml:space="preserve">Habla, memoria</t>
  </si>
  <si>
    <t xml:space="preserve">Vladimir Nabokov</t>
  </si>
  <si>
    <t xml:space="preserve">Memorias con prosa de novelista</t>
  </si>
  <si>
    <t xml:space="preserve">Tender Is the Night</t>
  </si>
  <si>
    <t xml:space="preserve">Suave es la noche</t>
  </si>
  <si>
    <t xml:space="preserve">1934</t>
  </si>
  <si>
    <t xml:space="preserve">Adventures of Huckleberry Finn</t>
  </si>
  <si>
    <t xml:space="preserve">Las aventuras de Huckleberry Finn</t>
  </si>
  <si>
    <t xml:space="preserve">Mark Twain</t>
  </si>
  <si>
    <t xml:space="preserve">1884</t>
  </si>
  <si>
    <t xml:space="preserve">Aventura</t>
  </si>
  <si>
    <t xml:space="preserve">The Amazing Adventures of Kavalier &amp; Clay</t>
  </si>
  <si>
    <t xml:space="preserve">Las asombrosas aventuras de Kavalier y Clay</t>
  </si>
  <si>
    <t xml:space="preserve">Michael Chabon</t>
  </si>
  <si>
    <t xml:space="preserve">2000</t>
  </si>
  <si>
    <t xml:space="preserve">The Awakening</t>
  </si>
  <si>
    <t xml:space="preserve">El despertar</t>
  </si>
  <si>
    <t xml:space="preserve">Kate Chopin</t>
  </si>
  <si>
    <t xml:space="preserve">Realismo / feminismo</t>
  </si>
  <si>
    <t xml:space="preserve">The Canterbury Tales</t>
  </si>
  <si>
    <t xml:space="preserve">Los cuentos de Canterbury</t>
  </si>
  <si>
    <t xml:space="preserve">Geoffrey Chaucer</t>
  </si>
  <si>
    <t xml:space="preserve">c. 1387–1400</t>
  </si>
  <si>
    <t xml:space="preserve">Poesía / relatos</t>
  </si>
  <si>
    <t xml:space="preserve">Clásico medieval</t>
  </si>
  <si>
    <t xml:space="preserve">The Count of Monte Cristo</t>
  </si>
  <si>
    <t xml:space="preserve">El conde de Montecristo</t>
  </si>
  <si>
    <t xml:space="preserve">Alexandre Dumas</t>
  </si>
  <si>
    <t xml:space="preserve">1844</t>
  </si>
  <si>
    <t xml:space="preserve">The Crucible</t>
  </si>
  <si>
    <t xml:space="preserve">Las brujas de Salem</t>
  </si>
  <si>
    <t xml:space="preserve">Drama histórico</t>
  </si>
  <si>
    <t xml:space="preserve">The Fellowship of the Ring</t>
  </si>
  <si>
    <t xml:space="preserve">La Comunidad del Anillo</t>
  </si>
  <si>
    <t xml:space="preserve">J. R. R. Tolkien</t>
  </si>
  <si>
    <t xml:space="preserve">Fantasía épica</t>
  </si>
  <si>
    <t xml:space="preserve">1ª parte de El Señor de los Anillos</t>
  </si>
  <si>
    <t xml:space="preserve">The Hunchback of Notre-Dame</t>
  </si>
  <si>
    <t xml:space="preserve">Nuestra Señora de París</t>
  </si>
  <si>
    <t xml:space="preserve">Victor Hugo</t>
  </si>
  <si>
    <t xml:space="preserve">1831</t>
  </si>
  <si>
    <t xml:space="preserve">Histórica / romántica</t>
  </si>
  <si>
    <t xml:space="preserve">The Kite Runner</t>
  </si>
  <si>
    <t xml:space="preserve">Cometas en el cielo</t>
  </si>
  <si>
    <t xml:space="preserve">Khaled Hosseini</t>
  </si>
  <si>
    <t xml:space="preserve">The Scarlet Letter</t>
  </si>
  <si>
    <t xml:space="preserve">La letra escarlata</t>
  </si>
  <si>
    <t xml:space="preserve">Nathaniel Hawthorne</t>
  </si>
  <si>
    <t xml:space="preserve">Romanticismo / histórica</t>
  </si>
  <si>
    <t xml:space="preserve">The Second Sex</t>
  </si>
  <si>
    <t xml:space="preserve">El segundo sexo</t>
  </si>
  <si>
    <t xml:space="preserve">Simone de Beauvoir</t>
  </si>
  <si>
    <t xml:space="preserve">Filosofía feminista</t>
  </si>
  <si>
    <t xml:space="preserve">The Shadow of the Wind</t>
  </si>
  <si>
    <t xml:space="preserve">La sombra del viento</t>
  </si>
  <si>
    <t xml:space="preserve">Carlos Ruiz Zafón</t>
  </si>
  <si>
    <t xml:space="preserve">Misterio / gótico</t>
  </si>
  <si>
    <t xml:space="preserve">Muy popular en España; puede que ya lo conozcáis</t>
  </si>
  <si>
    <t xml:space="preserve">The Virgin Suicides</t>
  </si>
  <si>
    <t xml:space="preserve">Las vírgenes suicidas</t>
  </si>
  <si>
    <t xml:space="preserve">1993</t>
  </si>
  <si>
    <t xml:space="preserve">Coming-of-age / drama</t>
  </si>
  <si>
    <t xml:space="preserve">The Year of Magical Thinking</t>
  </si>
  <si>
    <t xml:space="preserve">El año del pensamiento mágico</t>
  </si>
  <si>
    <t xml:space="preserve">Joan Didion</t>
  </si>
  <si>
    <t xml:space="preserve">2005</t>
  </si>
  <si>
    <t xml:space="preserve">Memorias / duelo</t>
  </si>
  <si>
    <t xml:space="preserve">Ulysses</t>
  </si>
  <si>
    <t xml:space="preserve">Ulises</t>
  </si>
  <si>
    <t xml:space="preserve">James Joyce</t>
  </si>
  <si>
    <t xml:space="preserve">Exigente, pero cumbre del modernismo</t>
  </si>
  <si>
    <t xml:space="preserve">Waiting for Godot</t>
  </si>
  <si>
    <t xml:space="preserve">Esperando a Godot</t>
  </si>
  <si>
    <t xml:space="preserve">Samuel Beckett</t>
  </si>
  <si>
    <t xml:space="preserve">1952</t>
  </si>
  <si>
    <t xml:space="preserve">Othello</t>
  </si>
  <si>
    <t xml:space="preserve">Otelo</t>
  </si>
  <si>
    <t xml:space="preserve">c. 1603</t>
  </si>
  <si>
    <t xml:space="preserve">Who's Afraid of Virginia Woolf?</t>
  </si>
  <si>
    <t xml:space="preserve">¿Quién teme a Virginia Woolf?</t>
  </si>
  <si>
    <t xml:space="preserve">Edward Albee</t>
  </si>
  <si>
    <t xml:space="preserve">3 · Recomendable</t>
  </si>
  <si>
    <t xml:space="preserve">A Separate Peace</t>
  </si>
  <si>
    <t xml:space="preserve">John Knowles</t>
  </si>
  <si>
    <t xml:space="preserve">1959</t>
  </si>
  <si>
    <t xml:space="preserve">Buena lectura literaria, algo menos central</t>
  </si>
  <si>
    <t xml:space="preserve">Alice's Adventures in Wonderland</t>
  </si>
  <si>
    <t xml:space="preserve">Alicia en el país de las maravillas</t>
  </si>
  <si>
    <t xml:space="preserve">Lewis Carroll</t>
  </si>
  <si>
    <t xml:space="preserve">1865</t>
  </si>
  <si>
    <t xml:space="preserve">Infantil</t>
  </si>
  <si>
    <t xml:space="preserve">Fantasía</t>
  </si>
  <si>
    <t xml:space="preserve">An American Tragedy</t>
  </si>
  <si>
    <t xml:space="preserve">Una tragedia americana</t>
  </si>
  <si>
    <t xml:space="preserve">Theodore Dreiser</t>
  </si>
  <si>
    <t xml:space="preserve">Drama / crimen</t>
  </si>
  <si>
    <t xml:space="preserve">Balzac and the Little Chinese Seamstress</t>
  </si>
  <si>
    <t xml:space="preserve">Balzac y la joven costurera china</t>
  </si>
  <si>
    <t xml:space="preserve">Dai Sijie</t>
  </si>
  <si>
    <t xml:space="preserve">Bel Canto</t>
  </si>
  <si>
    <t xml:space="preserve">Bel canto</t>
  </si>
  <si>
    <t xml:space="preserve">Ann Patchett</t>
  </si>
  <si>
    <t xml:space="preserve">Beowulf: A New Verse Translation</t>
  </si>
  <si>
    <t xml:space="preserve">Beowulf</t>
  </si>
  <si>
    <t xml:space="preserve">Anónimo (trad. Seamus Heaney)</t>
  </si>
  <si>
    <t xml:space="preserve">1999</t>
  </si>
  <si>
    <t xml:space="preserve">La traducción de Heaney es famosa por sí misma</t>
  </si>
  <si>
    <t xml:space="preserve">Brick Lane</t>
  </si>
  <si>
    <t xml:space="preserve">Monica Ali</t>
  </si>
  <si>
    <t xml:space="preserve">Ficción contemporánea</t>
  </si>
  <si>
    <t xml:space="preserve">Cousin Bette</t>
  </si>
  <si>
    <t xml:space="preserve">La prima Bette</t>
  </si>
  <si>
    <t xml:space="preserve">Honoré de Balzac</t>
  </si>
  <si>
    <t xml:space="preserve">1846</t>
  </si>
  <si>
    <t xml:space="preserve">Daisy Miller</t>
  </si>
  <si>
    <t xml:space="preserve">Henry James</t>
  </si>
  <si>
    <t xml:space="preserve">Costumbres</t>
  </si>
  <si>
    <t xml:space="preserve">Daughter of Fortune</t>
  </si>
  <si>
    <t xml:space="preserve">Hija de la fortuna</t>
  </si>
  <si>
    <t xml:space="preserve">Everything Is Illuminated</t>
  </si>
  <si>
    <t xml:space="preserve">Todo está iluminado</t>
  </si>
  <si>
    <t xml:space="preserve">Jonathan Safran Foer</t>
  </si>
  <si>
    <t xml:space="preserve">Fear and Loathing in Las Vegas</t>
  </si>
  <si>
    <t xml:space="preserve">Miedo y asco en Las Vegas</t>
  </si>
  <si>
    <t xml:space="preserve">Hunter S. Thompson</t>
  </si>
  <si>
    <t xml:space="preserve">1971</t>
  </si>
  <si>
    <t xml:space="preserve">Periodismo gonzo</t>
  </si>
  <si>
    <t xml:space="preserve">Girl, Interrupted</t>
  </si>
  <si>
    <t xml:space="preserve">Inocencia interrumpida</t>
  </si>
  <si>
    <t xml:space="preserve">Susanna Kaysen</t>
  </si>
  <si>
    <t xml:space="preserve">Gone with the Wind</t>
  </si>
  <si>
    <t xml:space="preserve">Lo que el viento se llevó</t>
  </si>
  <si>
    <t xml:space="preserve">Margaret Mitchell</t>
  </si>
  <si>
    <t xml:space="preserve">1936</t>
  </si>
  <si>
    <t xml:space="preserve">Histórica / romance</t>
  </si>
  <si>
    <t xml:space="preserve">High Fidelity</t>
  </si>
  <si>
    <t xml:space="preserve">Alta fidelidad</t>
  </si>
  <si>
    <t xml:space="preserve">Nick Hornby</t>
  </si>
  <si>
    <t xml:space="preserve">1995</t>
  </si>
  <si>
    <t xml:space="preserve">Comedia romántica</t>
  </si>
  <si>
    <t xml:space="preserve">House of Sand and Fog</t>
  </si>
  <si>
    <t xml:space="preserve">Casa de arena y niebla</t>
  </si>
  <si>
    <t xml:space="preserve">Andre Dubus III</t>
  </si>
  <si>
    <t xml:space="preserve">Howl and Other Poems</t>
  </si>
  <si>
    <t xml:space="preserve">Aullido</t>
  </si>
  <si>
    <t xml:space="preserve">Allen Ginsberg</t>
  </si>
  <si>
    <t xml:space="preserve">1956</t>
  </si>
  <si>
    <t xml:space="preserve">Poesía beat</t>
  </si>
  <si>
    <t xml:space="preserve">Ironweed</t>
  </si>
  <si>
    <t xml:space="preserve">Tallo de hierro</t>
  </si>
  <si>
    <t xml:space="preserve">William Kennedy</t>
  </si>
  <si>
    <t xml:space="preserve">1983</t>
  </si>
  <si>
    <t xml:space="preserve">Julius Caesar</t>
  </si>
  <si>
    <t xml:space="preserve">Julio César</t>
  </si>
  <si>
    <t xml:space="preserve">1599</t>
  </si>
  <si>
    <t xml:space="preserve">Leaves of Grass</t>
  </si>
  <si>
    <t xml:space="preserve">Hojas de hierba</t>
  </si>
  <si>
    <t xml:space="preserve">Walt Whitman</t>
  </si>
  <si>
    <t xml:space="preserve">1855</t>
  </si>
  <si>
    <t xml:space="preserve">Less Than Zero</t>
  </si>
  <si>
    <t xml:space="preserve">Menos que cero</t>
  </si>
  <si>
    <t xml:space="preserve">Bret Easton Ellis</t>
  </si>
  <si>
    <t xml:space="preserve">1985</t>
  </si>
  <si>
    <t xml:space="preserve">Letters to a Young Poet</t>
  </si>
  <si>
    <t xml:space="preserve">Cartas a un joven poeta</t>
  </si>
  <si>
    <t xml:space="preserve">Rainer Maria Rilke</t>
  </si>
  <si>
    <t xml:space="preserve">Cartas</t>
  </si>
  <si>
    <t xml:space="preserve">Cartas / reflexión</t>
  </si>
  <si>
    <t xml:space="preserve">Memoirs of a Dutiful Daughter</t>
  </si>
  <si>
    <t xml:space="preserve">Memorias de una joven formal</t>
  </si>
  <si>
    <t xml:space="preserve">Northanger Abbey</t>
  </si>
  <si>
    <t xml:space="preserve">La abadía de Northanger</t>
  </si>
  <si>
    <t xml:space="preserve">1817</t>
  </si>
  <si>
    <t xml:space="preserve">Parodia gótica / romance</t>
  </si>
  <si>
    <t xml:space="preserve">Oracle Night</t>
  </si>
  <si>
    <t xml:space="preserve">La noche del oráculo</t>
  </si>
  <si>
    <t xml:space="preserve">Paul Auster</t>
  </si>
  <si>
    <t xml:space="preserve">Metaficción</t>
  </si>
  <si>
    <t xml:space="preserve">Pygmalion</t>
  </si>
  <si>
    <t xml:space="preserve">Pigmalión</t>
  </si>
  <si>
    <t xml:space="preserve">George Bernard Shaw</t>
  </si>
  <si>
    <t xml:space="preserve">Comedia</t>
  </si>
  <si>
    <t xml:space="preserve">Rosemary's Baby</t>
  </si>
  <si>
    <t xml:space="preserve">La semilla del diablo</t>
  </si>
  <si>
    <t xml:space="preserve">Ira Levin</t>
  </si>
  <si>
    <t xml:space="preserve">Terror</t>
  </si>
  <si>
    <t xml:space="preserve">Small Island</t>
  </si>
  <si>
    <t xml:space="preserve">Andrea Levy</t>
  </si>
  <si>
    <t xml:space="preserve">2004</t>
  </si>
  <si>
    <t xml:space="preserve">The Snows of Kilimanjaro</t>
  </si>
  <si>
    <t xml:space="preserve">Las nieves del Kilimanjaro</t>
  </si>
  <si>
    <t xml:space="preserve">Relato</t>
  </si>
  <si>
    <t xml:space="preserve">The Code of the Woosters</t>
  </si>
  <si>
    <t xml:space="preserve">El código de los Wooster</t>
  </si>
  <si>
    <t xml:space="preserve">P. G. Wodehouse</t>
  </si>
  <si>
    <t xml:space="preserve">The Collected Stories of Eudora Welty</t>
  </si>
  <si>
    <t xml:space="preserve">Eudora Welty</t>
  </si>
  <si>
    <t xml:space="preserve">Relatos</t>
  </si>
  <si>
    <t xml:space="preserve">Relatos / gótico sureño</t>
  </si>
  <si>
    <t xml:space="preserve">The Curious Incident of the Dog in the Night-Time</t>
  </si>
  <si>
    <t xml:space="preserve">El curioso incidente del perro a medianoche</t>
  </si>
  <si>
    <t xml:space="preserve">Mark Haddon</t>
  </si>
  <si>
    <t xml:space="preserve">Misterio / contemporánea</t>
  </si>
  <si>
    <t xml:space="preserve">The Godfather</t>
  </si>
  <si>
    <t xml:space="preserve">El padrino</t>
  </si>
  <si>
    <t xml:space="preserve">Mario Puzo</t>
  </si>
  <si>
    <t xml:space="preserve">Crimen</t>
  </si>
  <si>
    <t xml:space="preserve">The Good Soldier</t>
  </si>
  <si>
    <t xml:space="preserve">El buen soldado</t>
  </si>
  <si>
    <t xml:space="preserve">Ford Madox Ford</t>
  </si>
  <si>
    <t xml:space="preserve">The Group</t>
  </si>
  <si>
    <t xml:space="preserve">El grupo</t>
  </si>
  <si>
    <t xml:space="preserve">Mary McCarthy</t>
  </si>
  <si>
    <t xml:space="preserve">Drama / sátira</t>
  </si>
  <si>
    <t xml:space="preserve">The Joy Luck Club</t>
  </si>
  <si>
    <t xml:space="preserve">El club de la buena estrella</t>
  </si>
  <si>
    <t xml:space="preserve">Amy Tan</t>
  </si>
  <si>
    <t xml:space="preserve">1989</t>
  </si>
  <si>
    <t xml:space="preserve">The Jungle</t>
  </si>
  <si>
    <t xml:space="preserve">La jungla</t>
  </si>
  <si>
    <t xml:space="preserve">Upton Sinclair</t>
  </si>
  <si>
    <t xml:space="preserve">1906</t>
  </si>
  <si>
    <t xml:space="preserve">Novela social</t>
  </si>
  <si>
    <t xml:space="preserve">The Lottery and Other Stories</t>
  </si>
  <si>
    <t xml:space="preserve">La lotería</t>
  </si>
  <si>
    <t xml:space="preserve">Shirley Jackson</t>
  </si>
  <si>
    <t xml:space="preserve">Terror / relatos</t>
  </si>
  <si>
    <t xml:space="preserve">The Namesake</t>
  </si>
  <si>
    <t xml:space="preserve">El buen nombre</t>
  </si>
  <si>
    <t xml:space="preserve">Jhumpa Lahiri</t>
  </si>
  <si>
    <t xml:space="preserve">Inmigración / contemporánea</t>
  </si>
  <si>
    <t xml:space="preserve">The Raven</t>
  </si>
  <si>
    <t xml:space="preserve">El cuervo</t>
  </si>
  <si>
    <t xml:space="preserve">Edgar Allan Poe</t>
  </si>
  <si>
    <t xml:space="preserve">1845</t>
  </si>
  <si>
    <t xml:space="preserve">Poesía gótica</t>
  </si>
  <si>
    <t xml:space="preserve">The Razor's Edge</t>
  </si>
  <si>
    <t xml:space="preserve">El filo de la navaja</t>
  </si>
  <si>
    <t xml:space="preserve">W. Somerset Maugham</t>
  </si>
  <si>
    <t xml:space="preserve">1944</t>
  </si>
  <si>
    <t xml:space="preserve">Espiritual / filosófica</t>
  </si>
  <si>
    <t xml:space="preserve">The Shining</t>
  </si>
  <si>
    <t xml:space="preserve">El resplandor</t>
  </si>
  <si>
    <t xml:space="preserve">Stephen King</t>
  </si>
  <si>
    <t xml:space="preserve">1977</t>
  </si>
  <si>
    <t xml:space="preserve">The Sonnets</t>
  </si>
  <si>
    <t xml:space="preserve">Sonetos</t>
  </si>
  <si>
    <t xml:space="preserve">1609</t>
  </si>
  <si>
    <t xml:space="preserve">Poesía amorosa</t>
  </si>
  <si>
    <t xml:space="preserve">Uncle Tom's Cabin</t>
  </si>
  <si>
    <t xml:space="preserve">La cabaña del tío Tom</t>
  </si>
  <si>
    <t xml:space="preserve">Harriet Beecher Stowe</t>
  </si>
  <si>
    <t xml:space="preserve">1852</t>
  </si>
  <si>
    <t xml:space="preserve">Abolicionista</t>
  </si>
  <si>
    <t xml:space="preserve">Vanity Fair</t>
  </si>
  <si>
    <t xml:space="preserve">La feria de las vanidades</t>
  </si>
  <si>
    <t xml:space="preserve">William Makepeace Thackeray</t>
  </si>
  <si>
    <t xml:space="preserve">1848</t>
  </si>
  <si>
    <t xml:space="preserve">Sátira social</t>
  </si>
  <si>
    <t xml:space="preserve">Walden</t>
  </si>
  <si>
    <t xml:space="preserve">Henry David Thoreau</t>
  </si>
  <si>
    <t xml:space="preserve">1854</t>
  </si>
  <si>
    <t xml:space="preserve">Naturaleza / filosofía</t>
  </si>
  <si>
    <t xml:space="preserve">Lady Chatterley's Lover</t>
  </si>
  <si>
    <t xml:space="preserve">El amante de Lady Chatterley</t>
  </si>
  <si>
    <t xml:space="preserve">D. H. Lawrence</t>
  </si>
  <si>
    <t xml:space="preserve">1928</t>
  </si>
  <si>
    <t xml:space="preserve">Oliver Twist</t>
  </si>
  <si>
    <t xml:space="preserve">1838</t>
  </si>
  <si>
    <t xml:space="preserve">Out of Africa</t>
  </si>
  <si>
    <t xml:space="preserve">Memorias de África</t>
  </si>
  <si>
    <t xml:space="preserve">Isak Dinesen (Karen Blixen)</t>
  </si>
  <si>
    <t xml:space="preserve">The Lion, the Witch and the Wardrobe</t>
  </si>
  <si>
    <t xml:space="preserve">El león, la bruja y el armario</t>
  </si>
  <si>
    <t xml:space="preserve">C. S. Lewis</t>
  </si>
  <si>
    <t xml:space="preserve">1950</t>
  </si>
  <si>
    <t xml:space="preserve">4 · Interesante</t>
  </si>
  <si>
    <t xml:space="preserve">The Comedy of Errors</t>
  </si>
  <si>
    <t xml:space="preserve">La comedia de las equivocaciones</t>
  </si>
  <si>
    <t xml:space="preserve">c. 1594</t>
  </si>
  <si>
    <t xml:space="preserve">Interesante, pero no esencial</t>
  </si>
  <si>
    <t xml:space="preserve">A Heartbreaking Work of Staggering Genius</t>
  </si>
  <si>
    <t xml:space="preserve">Una historia conmovedora, asombrosa y genial</t>
  </si>
  <si>
    <t xml:space="preserve">Dave Eggers</t>
  </si>
  <si>
    <t xml:space="preserve">Autobiography of a Face</t>
  </si>
  <si>
    <t xml:space="preserve">Lucy Grealy</t>
  </si>
  <si>
    <t xml:space="preserve">1994</t>
  </si>
  <si>
    <t xml:space="preserve">Carrie</t>
  </si>
  <si>
    <t xml:space="preserve">1974</t>
  </si>
  <si>
    <t xml:space="preserve">Complete Stories</t>
  </si>
  <si>
    <t xml:space="preserve">Dorothy Parker</t>
  </si>
  <si>
    <t xml:space="preserve">Relatos / humor</t>
  </si>
  <si>
    <t xml:space="preserve">Se solapa con el nº 288</t>
  </si>
  <si>
    <t xml:space="preserve">Ella Minnow Pea: A Novel in Letters</t>
  </si>
  <si>
    <t xml:space="preserve">Ella Minnow Pea</t>
  </si>
  <si>
    <t xml:space="preserve">Mark Dunn</t>
  </si>
  <si>
    <t xml:space="preserve">Epistolar / sátira</t>
  </si>
  <si>
    <t xml:space="preserve">Empire Falls</t>
  </si>
  <si>
    <t xml:space="preserve">Richard Russo</t>
  </si>
  <si>
    <t xml:space="preserve">Eva Luna</t>
  </si>
  <si>
    <t xml:space="preserve">Galápagos</t>
  </si>
  <si>
    <t xml:space="preserve">Ciencia ficción satírica</t>
  </si>
  <si>
    <t xml:space="preserve">Harry Potter and the Goblet of Fire</t>
  </si>
  <si>
    <t xml:space="preserve">Harry Potter y el cáliz de fuego</t>
  </si>
  <si>
    <t xml:space="preserve">J. K. Rowling</t>
  </si>
  <si>
    <t xml:space="preserve">Harry Potter and the Sorcerer's Stone</t>
  </si>
  <si>
    <t xml:space="preserve">Harry Potter y la piedra filosofal</t>
  </si>
  <si>
    <t xml:space="preserve">Henry IV, Part 1</t>
  </si>
  <si>
    <t xml:space="preserve">Enrique IV, primera parte</t>
  </si>
  <si>
    <t xml:space="preserve">c. 1597</t>
  </si>
  <si>
    <t xml:space="preserve">Henry IV, Part 2</t>
  </si>
  <si>
    <t xml:space="preserve">Enrique IV, segunda parte</t>
  </si>
  <si>
    <t xml:space="preserve">c. 1598</t>
  </si>
  <si>
    <t xml:space="preserve">Henry V</t>
  </si>
  <si>
    <t xml:space="preserve">Enrique V</t>
  </si>
  <si>
    <t xml:space="preserve">c. 1599</t>
  </si>
  <si>
    <t xml:space="preserve">How to Breathe Underwater</t>
  </si>
  <si>
    <t xml:space="preserve">Julie Orringer</t>
  </si>
  <si>
    <t xml:space="preserve">Kitchen Confidential</t>
  </si>
  <si>
    <t xml:space="preserve">Confesiones de un chef</t>
  </si>
  <si>
    <t xml:space="preserve">Anthony Bourdain</t>
  </si>
  <si>
    <t xml:space="preserve">Memorias / gastronomía</t>
  </si>
  <si>
    <t xml:space="preserve">Little Dorrit</t>
  </si>
  <si>
    <t xml:space="preserve">La pequeña Dorrit</t>
  </si>
  <si>
    <t xml:space="preserve">Me Talk Pretty One Day</t>
  </si>
  <si>
    <t xml:space="preserve">Mi vida en rose</t>
  </si>
  <si>
    <t xml:space="preserve">David Sedaris</t>
  </si>
  <si>
    <t xml:space="preserve">Humor</t>
  </si>
  <si>
    <t xml:space="preserve">Notes of a Dirty Old Man</t>
  </si>
  <si>
    <t xml:space="preserve">Escritos de un viejo indecente</t>
  </si>
  <si>
    <t xml:space="preserve">Charles Bukowski</t>
  </si>
  <si>
    <t xml:space="preserve">Columnas / relatos</t>
  </si>
  <si>
    <t xml:space="preserve">Old School</t>
  </si>
  <si>
    <t xml:space="preserve">Tobias Wolff</t>
  </si>
  <si>
    <t xml:space="preserve">Property</t>
  </si>
  <si>
    <t xml:space="preserve">Valerie Martin</t>
  </si>
  <si>
    <t xml:space="preserve">Rita Hayworth and Shawshank Redemption</t>
  </si>
  <si>
    <t xml:space="preserve">Rita Hayworth y la redención de Shawshank</t>
  </si>
  <si>
    <t xml:space="preserve">Roman Fever</t>
  </si>
  <si>
    <t xml:space="preserve">Fiebre romana</t>
  </si>
  <si>
    <t xml:space="preserve">Sanctuary</t>
  </si>
  <si>
    <t xml:space="preserve">Santuario</t>
  </si>
  <si>
    <t xml:space="preserve">1931</t>
  </si>
  <si>
    <t xml:space="preserve">Gótico sureño</t>
  </si>
  <si>
    <t xml:space="preserve">Songbook</t>
  </si>
  <si>
    <t xml:space="preserve">31 canciones</t>
  </si>
  <si>
    <t xml:space="preserve">Ensayo musical</t>
  </si>
  <si>
    <t xml:space="preserve">Sonnets from the Portuguese</t>
  </si>
  <si>
    <t xml:space="preserve">Sonetos del portugués</t>
  </si>
  <si>
    <t xml:space="preserve">Elizabeth Barrett Browning</t>
  </si>
  <si>
    <t xml:space="preserve">The Art of Fiction</t>
  </si>
  <si>
    <t xml:space="preserve">El arte de la ficción</t>
  </si>
  <si>
    <t xml:space="preserve">Crítica literaria</t>
  </si>
  <si>
    <t xml:space="preserve">The Children's Hour</t>
  </si>
  <si>
    <t xml:space="preserve">Lillian Hellman</t>
  </si>
  <si>
    <t xml:space="preserve">The Complete Poems</t>
  </si>
  <si>
    <t xml:space="preserve">Anne Sexton</t>
  </si>
  <si>
    <t xml:space="preserve">1981</t>
  </si>
  <si>
    <t xml:space="preserve">Poesía confesional</t>
  </si>
  <si>
    <t xml:space="preserve">The Electric Kool-Aid Acid Test</t>
  </si>
  <si>
    <t xml:space="preserve">Ponche de ácido lisérgico</t>
  </si>
  <si>
    <t xml:space="preserve">Tom Wolfe</t>
  </si>
  <si>
    <t xml:space="preserve">1968</t>
  </si>
  <si>
    <t xml:space="preserve">Nuevo periodismo</t>
  </si>
  <si>
    <t xml:space="preserve">The Fortress of Solitude</t>
  </si>
  <si>
    <t xml:space="preserve">La fortaleza de la soledad</t>
  </si>
  <si>
    <t xml:space="preserve">Jonathan Lethem</t>
  </si>
  <si>
    <t xml:space="preserve">The Fountainhead</t>
  </si>
  <si>
    <t xml:space="preserve">El manantial</t>
  </si>
  <si>
    <t xml:space="preserve">Ayn Rand</t>
  </si>
  <si>
    <t xml:space="preserve">Novela filosófica</t>
  </si>
  <si>
    <t xml:space="preserve">The Graduate</t>
  </si>
  <si>
    <t xml:space="preserve">El graduado</t>
  </si>
  <si>
    <t xml:space="preserve">Charles Webb</t>
  </si>
  <si>
    <t xml:space="preserve">Comedia dramática</t>
  </si>
  <si>
    <t xml:space="preserve">The Lovely Bones</t>
  </si>
  <si>
    <t xml:space="preserve">Desde mi cielo</t>
  </si>
  <si>
    <t xml:space="preserve">Alice Sebold</t>
  </si>
  <si>
    <t xml:space="preserve">Drama / sobrenatural</t>
  </si>
  <si>
    <t xml:space="preserve">The Manticore</t>
  </si>
  <si>
    <t xml:space="preserve">La mantícora</t>
  </si>
  <si>
    <t xml:space="preserve">Robertson Davies</t>
  </si>
  <si>
    <t xml:space="preserve">1972</t>
  </si>
  <si>
    <t xml:space="preserve">The Naked and the Dead</t>
  </si>
  <si>
    <t xml:space="preserve">Los desnudos y los muertos</t>
  </si>
  <si>
    <t xml:space="preserve">Norman Mailer</t>
  </si>
  <si>
    <t xml:space="preserve">1948</t>
  </si>
  <si>
    <t xml:space="preserve">Bélica</t>
  </si>
  <si>
    <t xml:space="preserve">The Outsiders</t>
  </si>
  <si>
    <t xml:space="preserve">Rebeldes</t>
  </si>
  <si>
    <t xml:space="preserve">S. E. Hinton</t>
  </si>
  <si>
    <t xml:space="preserve">Novela juvenil</t>
  </si>
  <si>
    <t xml:space="preserve">The Perks of Being a Wallflower</t>
  </si>
  <si>
    <t xml:space="preserve">Las ventajas de ser un marginado</t>
  </si>
  <si>
    <t xml:space="preserve">Stephen Chbosky</t>
  </si>
  <si>
    <t xml:space="preserve">The Polysyllabic Spree</t>
  </si>
  <si>
    <t xml:space="preserve">Ensayo sobre libros</t>
  </si>
  <si>
    <t xml:space="preserve">The Return of the King</t>
  </si>
  <si>
    <t xml:space="preserve">El retorno del rey</t>
  </si>
  <si>
    <t xml:space="preserve">1955</t>
  </si>
  <si>
    <t xml:space="preserve">Andrea ya leyó las dos primeras partes</t>
  </si>
  <si>
    <t xml:space="preserve">The Secret Life of Bees</t>
  </si>
  <si>
    <t xml:space="preserve">La vida secreta de las abejas</t>
  </si>
  <si>
    <t xml:space="preserve">Sue Monk Kidd</t>
  </si>
  <si>
    <t xml:space="preserve">The Time Traveler's Wife</t>
  </si>
  <si>
    <t xml:space="preserve">La mujer del viajero en el tiempo</t>
  </si>
  <si>
    <t xml:space="preserve">Audrey Niffenegger</t>
  </si>
  <si>
    <t xml:space="preserve">Romance / ciencia ficción</t>
  </si>
  <si>
    <t xml:space="preserve">Richard III</t>
  </si>
  <si>
    <t xml:space="preserve">Ricardo III</t>
  </si>
  <si>
    <t xml:space="preserve">c. 1593</t>
  </si>
  <si>
    <t xml:space="preserve">The Yearling</t>
  </si>
  <si>
    <t xml:space="preserve">Marjorie Kinnan Rawlings</t>
  </si>
  <si>
    <t xml:space="preserve">Time and Again</t>
  </si>
  <si>
    <t xml:space="preserve">Jack Finney</t>
  </si>
  <si>
    <t xml:space="preserve">1970</t>
  </si>
  <si>
    <t xml:space="preserve">Ciencia ficción / viajes en el tiempo</t>
  </si>
  <si>
    <t xml:space="preserve">To Have and Have Not</t>
  </si>
  <si>
    <t xml:space="preserve">Tener y no tener</t>
  </si>
  <si>
    <t xml:space="preserve">Unless</t>
  </si>
  <si>
    <t xml:space="preserve">Carol Shields</t>
  </si>
  <si>
    <t xml:space="preserve">When the Emperor Was Divine</t>
  </si>
  <si>
    <t xml:space="preserve">Cuando el emperador era divino</t>
  </si>
  <si>
    <t xml:space="preserve">Julie Otsuka</t>
  </si>
  <si>
    <t xml:space="preserve">Our Mutual Friend</t>
  </si>
  <si>
    <t xml:space="preserve">Nuestro común amigo</t>
  </si>
  <si>
    <t xml:space="preserve">Wicked: The Life and Times of the Wicked Witch of the West</t>
  </si>
  <si>
    <t xml:space="preserve">Wicked: memorias de una bruja mala</t>
  </si>
  <si>
    <t xml:space="preserve">Gregory Maguire</t>
  </si>
  <si>
    <t xml:space="preserve">5 · Si os apetece</t>
  </si>
  <si>
    <t xml:space="preserve">Backlash: The Undeclared War Against American Women</t>
  </si>
  <si>
    <t xml:space="preserve">Reacción: la guerra no declarada contra la mujer moderna</t>
  </si>
  <si>
    <t xml:space="preserve">Susan Faludi</t>
  </si>
  <si>
    <t xml:space="preserve">1991</t>
  </si>
  <si>
    <t xml:space="preserve">Para curiosos o por gusto personal</t>
  </si>
  <si>
    <t xml:space="preserve">Bitch: In Praise of Difficult Women</t>
  </si>
  <si>
    <t xml:space="preserve">Elizabeth Wurtzel</t>
  </si>
  <si>
    <t xml:space="preserve">1998</t>
  </si>
  <si>
    <t xml:space="preserve">Charlie and the Chocolate Factory</t>
  </si>
  <si>
    <t xml:space="preserve">Charlie y la fábrica de chocolate</t>
  </si>
  <si>
    <t xml:space="preserve">Roald Dahl</t>
  </si>
  <si>
    <t xml:space="preserve">Charlotte's Web</t>
  </si>
  <si>
    <t xml:space="preserve">La telaraña de Carlota</t>
  </si>
  <si>
    <t xml:space="preserve">E. B. White</t>
  </si>
  <si>
    <t xml:space="preserve">Christine</t>
  </si>
  <si>
    <t xml:space="preserve">Cujo</t>
  </si>
  <si>
    <t xml:space="preserve">Driving Miss Daisy</t>
  </si>
  <si>
    <t xml:space="preserve">Paseando a Miss Daisy</t>
  </si>
  <si>
    <t xml:space="preserve">Alfred Uhry</t>
  </si>
  <si>
    <t xml:space="preserve">Ethics</t>
  </si>
  <si>
    <t xml:space="preserve">Ética</t>
  </si>
  <si>
    <t xml:space="preserve">Baruch Spinoza</t>
  </si>
  <si>
    <t xml:space="preserve">1677</t>
  </si>
  <si>
    <t xml:space="preserve">Filosofía</t>
  </si>
  <si>
    <t xml:space="preserve">Finnegans Wake</t>
  </si>
  <si>
    <t xml:space="preserve">Modernismo experimental</t>
  </si>
  <si>
    <t xml:space="preserve">De los libros más difíciles escritos en inglés</t>
  </si>
  <si>
    <t xml:space="preserve">Gender Trouble</t>
  </si>
  <si>
    <t xml:space="preserve">El género en disputa</t>
  </si>
  <si>
    <t xml:space="preserve">Judith Butler</t>
  </si>
  <si>
    <t xml:space="preserve">1990</t>
  </si>
  <si>
    <t xml:space="preserve">Teoría feminista / filosofía</t>
  </si>
  <si>
    <t xml:space="preserve">Helter Skelter: The True Story of the Manson Murders</t>
  </si>
  <si>
    <t xml:space="preserve">Helter Skelter</t>
  </si>
  <si>
    <t xml:space="preserve">Vincent Bugliosi y Curt Gentry</t>
  </si>
  <si>
    <t xml:space="preserve">True crime</t>
  </si>
  <si>
    <t xml:space="preserve">Holidays on Ice</t>
  </si>
  <si>
    <t xml:space="preserve">Inherit the Wind</t>
  </si>
  <si>
    <t xml:space="preserve">Heredarás el viento</t>
  </si>
  <si>
    <t xml:space="preserve">Jerome Lawrence y Robert E. Lee</t>
  </si>
  <si>
    <t xml:space="preserve">Drama judicial</t>
  </si>
  <si>
    <t xml:space="preserve">Monsieur Proust</t>
  </si>
  <si>
    <t xml:space="preserve">Céleste Albaret</t>
  </si>
  <si>
    <t xml:space="preserve">1973</t>
  </si>
  <si>
    <t xml:space="preserve">Mutiny on the Bounty</t>
  </si>
  <si>
    <t xml:space="preserve">El motín del Bounty</t>
  </si>
  <si>
    <t xml:space="preserve">Charles Nordhoff y James Norman Hall</t>
  </si>
  <si>
    <t xml:space="preserve">Aventura histórica</t>
  </si>
  <si>
    <t xml:space="preserve">My Sister's Keeper</t>
  </si>
  <si>
    <t xml:space="preserve">La decisión más difícil</t>
  </si>
  <si>
    <t xml:space="preserve">Jodi Picoult</t>
  </si>
  <si>
    <t xml:space="preserve">New Poems of Emily Dickinson</t>
  </si>
  <si>
    <t xml:space="preserve">Emily Dickinson</t>
  </si>
  <si>
    <t xml:space="preserve">Nickel and Dimed</t>
  </si>
  <si>
    <t xml:space="preserve">Por cuatro duros</t>
  </si>
  <si>
    <t xml:space="preserve">Barbara Ehrenreich</t>
  </si>
  <si>
    <t xml:space="preserve">Periodismo / sociedad</t>
  </si>
  <si>
    <t xml:space="preserve">Novels 1930–1942</t>
  </si>
  <si>
    <t xml:space="preserve">Dawn Powell</t>
  </si>
  <si>
    <t xml:space="preserve">Novela (recopilación)</t>
  </si>
  <si>
    <t xml:space="preserve">Misma obra que el nº 44</t>
  </si>
  <si>
    <t xml:space="preserve">Peyton Place</t>
  </si>
  <si>
    <t xml:space="preserve">Grace Metalious</t>
  </si>
  <si>
    <t xml:space="preserve">Melodrama</t>
  </si>
  <si>
    <t xml:space="preserve">The Adventures of Pinocchio</t>
  </si>
  <si>
    <t xml:space="preserve">Las aventuras de Pinocho</t>
  </si>
  <si>
    <t xml:space="preserve">Carlo Collodi</t>
  </si>
  <si>
    <t xml:space="preserve">1883</t>
  </si>
  <si>
    <t xml:space="preserve">Please Kill Me: The Uncensored Oral History of Punk</t>
  </si>
  <si>
    <t xml:space="preserve">Por favor, mátame</t>
  </si>
  <si>
    <t xml:space="preserve">Legs McNeil y Gillian McCain</t>
  </si>
  <si>
    <t xml:space="preserve">Historia oral / punk</t>
  </si>
  <si>
    <t xml:space="preserve">Savage Beauty: The Life of Edna St. Vincent Millay</t>
  </si>
  <si>
    <t xml:space="preserve">Nancy Milford</t>
  </si>
  <si>
    <t xml:space="preserve">Biografía</t>
  </si>
  <si>
    <t xml:space="preserve">Seabiscuit: An American Legend</t>
  </si>
  <si>
    <t xml:space="preserve">Seabiscuit</t>
  </si>
  <si>
    <t xml:space="preserve">Laura Hillenbrand</t>
  </si>
  <si>
    <t xml:space="preserve">Deportes / historia</t>
  </si>
  <si>
    <t xml:space="preserve">Secrets of the Flesh: A Life of Colette</t>
  </si>
  <si>
    <t xml:space="preserve">Judith Thurman</t>
  </si>
  <si>
    <t xml:space="preserve">Sexus</t>
  </si>
  <si>
    <t xml:space="preserve">Henry Miller</t>
  </si>
  <si>
    <t xml:space="preserve">Shane</t>
  </si>
  <si>
    <t xml:space="preserve">Jack Schaefer</t>
  </si>
  <si>
    <t xml:space="preserve">Wéstern</t>
  </si>
  <si>
    <t xml:space="preserve">Song of the Simple Truth: The Complete Poems</t>
  </si>
  <si>
    <t xml:space="preserve">Julia de Burgos</t>
  </si>
  <si>
    <t xml:space="preserve">Stiff: The Curious Lives of Human Cadavers</t>
  </si>
  <si>
    <t xml:space="preserve">Mary Roach</t>
  </si>
  <si>
    <t xml:space="preserve">Divulgación científica</t>
  </si>
  <si>
    <t xml:space="preserve">Terms of Endearment</t>
  </si>
  <si>
    <t xml:space="preserve">La fuerza del cariño</t>
  </si>
  <si>
    <t xml:space="preserve">Larry McMurtry</t>
  </si>
  <si>
    <t xml:space="preserve">1975</t>
  </si>
  <si>
    <t xml:space="preserve">The Art of War</t>
  </si>
  <si>
    <t xml:space="preserve">El arte de la guerra</t>
  </si>
  <si>
    <t xml:space="preserve">Sun Tzu</t>
  </si>
  <si>
    <t xml:space="preserve">s. V a. C. (aprox.)</t>
  </si>
  <si>
    <t xml:space="preserve">Tratado</t>
  </si>
  <si>
    <t xml:space="preserve">Estrategia</t>
  </si>
  <si>
    <t xml:space="preserve">The Bhagavad Gita</t>
  </si>
  <si>
    <t xml:space="preserve">Bhagavad Gita</t>
  </si>
  <si>
    <t xml:space="preserve">Anónimo (atribuido a Vyasa)</t>
  </si>
  <si>
    <t xml:space="preserve">s. V–II a. C. (aprox.)</t>
  </si>
  <si>
    <t xml:space="preserve">Texto sagrado</t>
  </si>
  <si>
    <t xml:space="preserve">Filosofía / religión</t>
  </si>
  <si>
    <t xml:space="preserve">The Crimson Petal and the White</t>
  </si>
  <si>
    <t xml:space="preserve">Michel Faber</t>
  </si>
  <si>
    <t xml:space="preserve">Histórica victoriana</t>
  </si>
  <si>
    <t xml:space="preserve">The Devil in the White City</t>
  </si>
  <si>
    <t xml:space="preserve">El diablo en la ciudad blanca</t>
  </si>
  <si>
    <t xml:space="preserve">Erik Larson</t>
  </si>
  <si>
    <t xml:space="preserve">Historia / true crime</t>
  </si>
  <si>
    <t xml:space="preserve">The Gnostic Gospels</t>
  </si>
  <si>
    <t xml:space="preserve">Los evangelios gnósticos</t>
  </si>
  <si>
    <t xml:space="preserve">Elaine Pagels</t>
  </si>
  <si>
    <t xml:space="preserve">Historia de la religión</t>
  </si>
  <si>
    <t xml:space="preserve">The Celebrated Jumping Frog of Calaveras County</t>
  </si>
  <si>
    <t xml:space="preserve">La célebre rana saltarina del condado de Calaveras</t>
  </si>
  <si>
    <t xml:space="preserve">The Little Match Girl</t>
  </si>
  <si>
    <t xml:space="preserve">La pequeña cerillera</t>
  </si>
  <si>
    <t xml:space="preserve">Hans Christian Andersen</t>
  </si>
  <si>
    <t xml:space="preserve">Cuento</t>
  </si>
  <si>
    <t xml:space="preserve">Cuento de hadas</t>
  </si>
  <si>
    <t xml:space="preserve">The Merry Wives of Windsor</t>
  </si>
  <si>
    <t xml:space="preserve">Las alegres comadres de Windsor</t>
  </si>
  <si>
    <t xml:space="preserve">The Miracle Worker</t>
  </si>
  <si>
    <t xml:space="preserve">William Gibson</t>
  </si>
  <si>
    <t xml:space="preserve">Drama biográfico</t>
  </si>
  <si>
    <t xml:space="preserve">The Portable Dorothy Parker</t>
  </si>
  <si>
    <t xml:space="preserve">Antología</t>
  </si>
  <si>
    <t xml:space="preserve">Relatos / poesía / humor</t>
  </si>
  <si>
    <t xml:space="preserve">Se solapa con el nº 45</t>
  </si>
  <si>
    <t xml:space="preserve">The Portable Nietzsche</t>
  </si>
  <si>
    <t xml:space="preserve">Friedrich Nietzsche (ed. y trad. Walter Kaufmann)</t>
  </si>
  <si>
    <t xml:space="preserve">The Power of Myth</t>
  </si>
  <si>
    <t xml:space="preserve">El poder del mito</t>
  </si>
  <si>
    <t xml:space="preserve">Joseph Campbell con Bill Moyers</t>
  </si>
  <si>
    <t xml:space="preserve">1988</t>
  </si>
  <si>
    <t xml:space="preserve">Mitología</t>
  </si>
  <si>
    <t xml:space="preserve">The Red Tent</t>
  </si>
  <si>
    <t xml:space="preserve">La tienda roja</t>
  </si>
  <si>
    <t xml:space="preserve">Anita Diamant</t>
  </si>
  <si>
    <t xml:space="preserve">Histórica / bíblica</t>
  </si>
  <si>
    <t xml:space="preserve">The Song of Names</t>
  </si>
  <si>
    <t xml:space="preserve">Norman Lebrecht</t>
  </si>
  <si>
    <t xml:space="preserve">Drama / música</t>
  </si>
  <si>
    <t xml:space="preserve">The Story of My Life</t>
  </si>
  <si>
    <t xml:space="preserve">La historia de mi vida</t>
  </si>
  <si>
    <t xml:space="preserve">Helen Keller</t>
  </si>
  <si>
    <t xml:space="preserve">1903</t>
  </si>
  <si>
    <t xml:space="preserve">Autobiografía</t>
  </si>
  <si>
    <t xml:space="preserve">The Unabridged Journals of Sylvia Plath, 1950–1962</t>
  </si>
  <si>
    <t xml:space="preserve">Diarios completos</t>
  </si>
  <si>
    <t xml:space="preserve">Diarios</t>
  </si>
  <si>
    <t xml:space="preserve">The Wonderful Wizard of Oz</t>
  </si>
  <si>
    <t xml:space="preserve">El maravilloso mago de Oz</t>
  </si>
  <si>
    <t xml:space="preserve">L. Frank Baum</t>
  </si>
  <si>
    <t xml:space="preserve">1900</t>
  </si>
  <si>
    <t xml:space="preserve">Truth &amp; Beauty: A Friendship</t>
  </si>
  <si>
    <t xml:space="preserve">Memorias / amistad</t>
  </si>
  <si>
    <t xml:space="preserve">Valley of the Dolls</t>
  </si>
  <si>
    <t xml:space="preserve">El valle de las muñecas</t>
  </si>
  <si>
    <t xml:space="preserve">Jacqueline Susann</t>
  </si>
  <si>
    <t xml:space="preserve">What Ever Happened to Baby Jane?</t>
  </si>
  <si>
    <t xml:space="preserve">¿Qué fue de Baby Jane?</t>
  </si>
  <si>
    <t xml:space="preserve">Henry Farrell</t>
  </si>
  <si>
    <t xml:space="preserve">Thriller psicológico</t>
  </si>
  <si>
    <t xml:space="preserve">6 · Prescindible</t>
  </si>
  <si>
    <t xml:space="preserve">A Bolt from the Blue and Other Essays</t>
  </si>
  <si>
    <t xml:space="preserve">Ensayo literario</t>
  </si>
  <si>
    <t xml:space="preserve">Nicho, menor o muy ligado a su época</t>
  </si>
  <si>
    <t xml:space="preserve">A Month of Sundays: Searching for the Spirit and My Sister</t>
  </si>
  <si>
    <t xml:space="preserve">Julie Mars</t>
  </si>
  <si>
    <t xml:space="preserve">A Quiet Storm</t>
  </si>
  <si>
    <t xml:space="preserve">Rachel Howzell Hall</t>
  </si>
  <si>
    <t xml:space="preserve">Babe: The Gallant Pig</t>
  </si>
  <si>
    <t xml:space="preserve">Babe, el cerdito valiente</t>
  </si>
  <si>
    <t xml:space="preserve">Dick King-Smith</t>
  </si>
  <si>
    <t xml:space="preserve">Complete Novels</t>
  </si>
  <si>
    <t xml:space="preserve">Misma obra que el nº 153</t>
  </si>
  <si>
    <t xml:space="preserve">David and Lisa</t>
  </si>
  <si>
    <t xml:space="preserve">Theodore Isaac Rubin</t>
  </si>
  <si>
    <t xml:space="preserve">Deenie</t>
  </si>
  <si>
    <t xml:space="preserve">Judy Blume</t>
  </si>
  <si>
    <t xml:space="preserve">Juvenil</t>
  </si>
  <si>
    <t xml:space="preserve">Complete Tales &amp; Poems</t>
  </si>
  <si>
    <t xml:space="preserve">1827–1849</t>
  </si>
  <si>
    <t xml:space="preserve">Relatos y poesía</t>
  </si>
  <si>
    <t xml:space="preserve">Terror / gótico</t>
  </si>
  <si>
    <t xml:space="preserve">Recopilación muy larga; El cuervo va aparte (nº 292)</t>
  </si>
  <si>
    <t xml:space="preserve">Eloise</t>
  </si>
  <si>
    <t xml:space="preserve">Kay Thompson (ilustr. Hilary Knight)</t>
  </si>
  <si>
    <t xml:space="preserve">Álbum ilustrado</t>
  </si>
  <si>
    <t xml:space="preserve">Álbum ilustrado infantil</t>
  </si>
  <si>
    <t xml:space="preserve">Extravagance</t>
  </si>
  <si>
    <t xml:space="preserve">Gary Krist</t>
  </si>
  <si>
    <t xml:space="preserve">Histórica / sátira</t>
  </si>
  <si>
    <t xml:space="preserve">Fiddler on the Roof</t>
  </si>
  <si>
    <t xml:space="preserve">El violinista en el tejado</t>
  </si>
  <si>
    <t xml:space="preserve">Joseph Stein (libreto), Jerry Bock y Sheldon Harnick</t>
  </si>
  <si>
    <t xml:space="preserve">Teatro (musical)</t>
  </si>
  <si>
    <t xml:space="preserve">Musical</t>
  </si>
  <si>
    <t xml:space="preserve">Libreto de musical</t>
  </si>
  <si>
    <t xml:space="preserve">Fletch</t>
  </si>
  <si>
    <t xml:space="preserve">Gregory Mcdonald</t>
  </si>
  <si>
    <t xml:space="preserve">Misterio / humor</t>
  </si>
  <si>
    <t xml:space="preserve">Freaky Friday</t>
  </si>
  <si>
    <t xml:space="preserve">Mary Rodgers</t>
  </si>
  <si>
    <t xml:space="preserve">Comedia fantástica</t>
  </si>
  <si>
    <t xml:space="preserve">Gidget</t>
  </si>
  <si>
    <t xml:space="preserve">Frederick Kohner</t>
  </si>
  <si>
    <t xml:space="preserve">Juvenil / surf</t>
  </si>
  <si>
    <t xml:space="preserve">How the Light Gets In</t>
  </si>
  <si>
    <t xml:space="preserve">M. J. Hyland</t>
  </si>
  <si>
    <t xml:space="preserve">I'm with the Band: Confessions of a Groupie</t>
  </si>
  <si>
    <t xml:space="preserve">Pamela Des Barres</t>
  </si>
  <si>
    <t xml:space="preserve">Memorias / rock</t>
  </si>
  <si>
    <t xml:space="preserve">Inferno</t>
  </si>
  <si>
    <t xml:space="preserve">Infierno</t>
  </si>
  <si>
    <t xml:space="preserve">c. 1314</t>
  </si>
  <si>
    <t xml:space="preserve">Ya incluido en La Divina Comedia (nº 235); Andrea tiene ambos en su lista</t>
  </si>
  <si>
    <t xml:space="preserve">Just a Couple of Days</t>
  </si>
  <si>
    <t xml:space="preserve">Tony Vigorito</t>
  </si>
  <si>
    <t xml:space="preserve">Sátira / experimental</t>
  </si>
  <si>
    <t xml:space="preserve">Marathon Man</t>
  </si>
  <si>
    <t xml:space="preserve">William Goldman</t>
  </si>
  <si>
    <t xml:space="preserve">Thriller</t>
  </si>
  <si>
    <t xml:space="preserve">A Mencken Chrestomathy</t>
  </si>
  <si>
    <t xml:space="preserve">H. L. Mencken</t>
  </si>
  <si>
    <t xml:space="preserve">Ensayo / sátira</t>
  </si>
  <si>
    <t xml:space="preserve">My Lai 4: A Report on the Massacre and Its Aftermath</t>
  </si>
  <si>
    <t xml:space="preserve">Seymour M. Hersh</t>
  </si>
  <si>
    <t xml:space="preserve">Periodismo / historia</t>
  </si>
  <si>
    <t xml:space="preserve">Periodismo de investigación</t>
  </si>
  <si>
    <t xml:space="preserve">My Life in Orange: Growing Up with the Guru</t>
  </si>
  <si>
    <t xml:space="preserve">Tim Guest</t>
  </si>
  <si>
    <t xml:space="preserve">Nervous System: Or, Losing My Mind in Literature</t>
  </si>
  <si>
    <t xml:space="preserve">Jan Lars Jensen</t>
  </si>
  <si>
    <t xml:space="preserve">Pippi Longstocking</t>
  </si>
  <si>
    <t xml:space="preserve">Pippi Calzaslargas</t>
  </si>
  <si>
    <t xml:space="preserve">Astrid Lindgren</t>
  </si>
  <si>
    <t xml:space="preserve">1945</t>
  </si>
  <si>
    <t xml:space="preserve">Quattrocento</t>
  </si>
  <si>
    <t xml:space="preserve">James McKean</t>
  </si>
  <si>
    <t xml:space="preserve">Ficción literaria / arte</t>
  </si>
  <si>
    <t xml:space="preserve">Rebecca of Sunnybrook Farm</t>
  </si>
  <si>
    <t xml:space="preserve">Kate Douglas Wiggin</t>
  </si>
  <si>
    <t xml:space="preserve">Rescuing Patty Hearst: Memories From a Decade Gone Mad</t>
  </si>
  <si>
    <t xml:space="preserve">Virginia Holman</t>
  </si>
  <si>
    <t xml:space="preserve">Sacred Time</t>
  </si>
  <si>
    <t xml:space="preserve">Ursula Hegi</t>
  </si>
  <si>
    <t xml:space="preserve">Stuart Little</t>
  </si>
  <si>
    <t xml:space="preserve">Swimming with Giants</t>
  </si>
  <si>
    <t xml:space="preserve">Anne Collet</t>
  </si>
  <si>
    <t xml:space="preserve">Naturaleza</t>
  </si>
  <si>
    <t xml:space="preserve">Sybil</t>
  </si>
  <si>
    <t xml:space="preserve">Flora Rheta Schreiber</t>
  </si>
  <si>
    <t xml:space="preserve">Psicología</t>
  </si>
  <si>
    <t xml:space="preserve">The Art of Eating</t>
  </si>
  <si>
    <t xml:space="preserve">M. F. K. Fisher</t>
  </si>
  <si>
    <t xml:space="preserve">Gastronomía</t>
  </si>
  <si>
    <t xml:space="preserve">The Bible</t>
  </si>
  <si>
    <t xml:space="preserve">La Biblia</t>
  </si>
  <si>
    <t xml:space="preserve">Varios</t>
  </si>
  <si>
    <t xml:space="preserve">Religión</t>
  </si>
  <si>
    <t xml:space="preserve">The Bielski Brothers</t>
  </si>
  <si>
    <t xml:space="preserve">Los hermanos Bielski</t>
  </si>
  <si>
    <t xml:space="preserve">Peter Duffy</t>
  </si>
  <si>
    <t xml:space="preserve">Historia / Holocausto</t>
  </si>
  <si>
    <t xml:space="preserve">Historia; la novela no es el formato</t>
  </si>
  <si>
    <t xml:space="preserve">The Da Vinci Code</t>
  </si>
  <si>
    <t xml:space="preserve">El código Da Vinci</t>
  </si>
  <si>
    <t xml:space="preserve">Dan Brown</t>
  </si>
  <si>
    <t xml:space="preserve">The Dirt: Confessions of the World's Most Notorious Rock Band</t>
  </si>
  <si>
    <t xml:space="preserve">Mötley Crüe (Tommy Lee, Mick Mars, Vince Neil, Nikki Sixx) con Neil Strauss</t>
  </si>
  <si>
    <t xml:space="preserve">Divine Secrets of the Ya-Ya Sisterhood</t>
  </si>
  <si>
    <t xml:space="preserve">Divinos secretos de las hermanas Ya-Ya</t>
  </si>
  <si>
    <t xml:space="preserve">Rebecca Wells</t>
  </si>
  <si>
    <t xml:space="preserve">Drama / saga femenina</t>
  </si>
  <si>
    <t xml:space="preserve">The Five People You Meet in Heaven</t>
  </si>
  <si>
    <t xml:space="preserve">Las cinco personas que encontrarás en el cielo</t>
  </si>
  <si>
    <t xml:space="preserve">Mitch Albom</t>
  </si>
  <si>
    <t xml:space="preserve">Ficción espiritual</t>
  </si>
  <si>
    <t xml:space="preserve">The History of the Decline and Fall of the Roman Empire</t>
  </si>
  <si>
    <t xml:space="preserve">Historia de la decadencia y caída del Imperio romano</t>
  </si>
  <si>
    <t xml:space="preserve">Edward Gibbon</t>
  </si>
  <si>
    <t xml:space="preserve">1776–1789</t>
  </si>
  <si>
    <t xml:space="preserve">Historia</t>
  </si>
  <si>
    <t xml:space="preserve">The Kitchen Boy: A Novel of the Last Tsar</t>
  </si>
  <si>
    <t xml:space="preserve">Robert Alexander</t>
  </si>
  <si>
    <t xml:space="preserve">The Last Empire: Essays 1992–2000</t>
  </si>
  <si>
    <t xml:space="preserve">Gore Vidal</t>
  </si>
  <si>
    <t xml:space="preserve">Ensayo político</t>
  </si>
  <si>
    <t xml:space="preserve">The Legend of Bagger Vance</t>
  </si>
  <si>
    <t xml:space="preserve">La leyenda de Bagger Vance</t>
  </si>
  <si>
    <t xml:space="preserve">Steven Pressfield</t>
  </si>
  <si>
    <t xml:space="preserve">Deportes / espiritual</t>
  </si>
  <si>
    <t xml:space="preserve">The Little Locksmith</t>
  </si>
  <si>
    <t xml:space="preserve">Katharine Butler Hathaway</t>
  </si>
  <si>
    <t xml:space="preserve">Love Story</t>
  </si>
  <si>
    <t xml:space="preserve">Erich Segal</t>
  </si>
  <si>
    <t xml:space="preserve">The Meaning of Consuelo</t>
  </si>
  <si>
    <t xml:space="preserve">Judith Ortiz Cofer</t>
  </si>
  <si>
    <t xml:space="preserve">The Opposite of Fate: Memories of a Writing Life</t>
  </si>
  <si>
    <t xml:space="preserve">Memorias / ensayo</t>
  </si>
  <si>
    <t xml:space="preserve">The Song Reader</t>
  </si>
  <si>
    <t xml:space="preserve">Lisa Tucker</t>
  </si>
  <si>
    <t xml:space="preserve">The True and Outstanding Adventures of the Hunt Sisters</t>
  </si>
  <si>
    <t xml:space="preserve">Elisabeth Robinson</t>
  </si>
  <si>
    <t xml:space="preserve">Epistolar / comedia dramática</t>
  </si>
  <si>
    <t xml:space="preserve">Tuesdays with Morrie</t>
  </si>
  <si>
    <t xml:space="preserve">Martes con mi viejo profesor</t>
  </si>
  <si>
    <t xml:space="preserve">Bambi: A Life in the Woods</t>
  </si>
  <si>
    <t xml:space="preserve">Bambi</t>
  </si>
  <si>
    <t xml:space="preserve">Felix Salten</t>
  </si>
  <si>
    <t xml:space="preserve">1923</t>
  </si>
  <si>
    <t xml:space="preserve">Infantil / naturaleza</t>
  </si>
  <si>
    <t xml:space="preserve">7 · Descartable</t>
  </si>
  <si>
    <t xml:space="preserve">A Monetary History of the United States, 1867–1960</t>
  </si>
  <si>
    <t xml:space="preserve">Milton Friedman y Anna J. Schwartz</t>
  </si>
  <si>
    <t xml:space="preserve">Economía</t>
  </si>
  <si>
    <t xml:space="preserve">Tratado de economía muy técnico</t>
  </si>
  <si>
    <t xml:space="preserve">The Archidamian War</t>
  </si>
  <si>
    <t xml:space="preserve">Donald Kagan</t>
  </si>
  <si>
    <t xml:space="preserve">Historia antigua</t>
  </si>
  <si>
    <t xml:space="preserve">Historia académica en 4 tomos; muy especializado</t>
  </si>
  <si>
    <t xml:space="preserve">Brigadoon</t>
  </si>
  <si>
    <t xml:space="preserve">Alan Jay Lerner (libreto) y Frederick Loewe (música)</t>
  </si>
  <si>
    <t xml:space="preserve">Musical / fantasía</t>
  </si>
  <si>
    <t xml:space="preserve">Eleanor Roosevelt</t>
  </si>
  <si>
    <t xml:space="preserve">Blanche Wiesen Cook</t>
  </si>
  <si>
    <t xml:space="preserve">1992</t>
  </si>
  <si>
    <t xml:space="preserve">Biografía de 3 tomos</t>
  </si>
  <si>
    <t xml:space="preserve">Emily the Strange</t>
  </si>
  <si>
    <t xml:space="preserve">Rob Reger y Buzz Parker</t>
  </si>
  <si>
    <t xml:space="preserve">Libro ilustrado</t>
  </si>
  <si>
    <t xml:space="preserve">Humor gótico</t>
  </si>
  <si>
    <t xml:space="preserve">Libro ilustrado de humor</t>
  </si>
  <si>
    <t xml:space="preserve">Encyclopedia Brown, Boy Detective</t>
  </si>
  <si>
    <t xml:space="preserve">Donald J. Sobol</t>
  </si>
  <si>
    <t xml:space="preserve">Misterio</t>
  </si>
  <si>
    <t xml:space="preserve">Europe Through the Back Door 2003</t>
  </si>
  <si>
    <t xml:space="preserve">Rick Steves</t>
  </si>
  <si>
    <t xml:space="preserve">Guía</t>
  </si>
  <si>
    <t xml:space="preserve">Guía de viajes</t>
  </si>
  <si>
    <t xml:space="preserve">Guía de viaje desfasada</t>
  </si>
  <si>
    <t xml:space="preserve">Fahrenheit 9/11</t>
  </si>
  <si>
    <t xml:space="preserve">Michael Moore</t>
  </si>
  <si>
    <t xml:space="preserve">Documental</t>
  </si>
  <si>
    <t xml:space="preserve">Documental político</t>
  </si>
  <si>
    <t xml:space="preserve">Es una película documental</t>
  </si>
  <si>
    <t xml:space="preserve">Fat Land: How Americans Became the Fattest People in the World</t>
  </si>
  <si>
    <t xml:space="preserve">Greg Critser</t>
  </si>
  <si>
    <t xml:space="preserve">Salud / sociedad</t>
  </si>
  <si>
    <t xml:space="preserve">Divulgación sobre obesidad de 2003, desfasada</t>
  </si>
  <si>
    <t xml:space="preserve">George W. Bushisms: The Slate Book of the Accidental Wit and Wisdom of Our 43rd President</t>
  </si>
  <si>
    <t xml:space="preserve">Jacob Weisberg</t>
  </si>
  <si>
    <t xml:space="preserve">Humor político</t>
  </si>
  <si>
    <t xml:space="preserve">Humor político de actualidad, envejecido</t>
  </si>
  <si>
    <t xml:space="preserve">Goldilocks and the Three Bears</t>
  </si>
  <si>
    <t xml:space="preserve">Ricitos de Oro y los tres osos</t>
  </si>
  <si>
    <t xml:space="preserve">Alvin Granowsky (adaptación)</t>
  </si>
  <si>
    <t xml:space="preserve">Tradicional</t>
  </si>
  <si>
    <t xml:space="preserve">Cuento popular</t>
  </si>
  <si>
    <t xml:space="preserve">Cuento infantil breve</t>
  </si>
  <si>
    <t xml:space="preserve">Harold and the Purple Crayon</t>
  </si>
  <si>
    <t xml:space="preserve">Crockett Johnson</t>
  </si>
  <si>
    <t xml:space="preserve">He's Just Not That Into You</t>
  </si>
  <si>
    <t xml:space="preserve">Greg Behrendt y Liz Tuccillo</t>
  </si>
  <si>
    <t xml:space="preserve">Autoayuda / relaciones</t>
  </si>
  <si>
    <t xml:space="preserve">Autoayuda de relaciones</t>
  </si>
  <si>
    <t xml:space="preserve">How the Grinch Stole Christmas!</t>
  </si>
  <si>
    <t xml:space="preserve">¡Cómo el Grinch robó la Navidad!</t>
  </si>
  <si>
    <t xml:space="preserve">Dr. Seuss</t>
  </si>
  <si>
    <t xml:space="preserve">Infantil navideño</t>
  </si>
  <si>
    <t xml:space="preserve">Álbum infantil</t>
  </si>
  <si>
    <t xml:space="preserve">It Takes a Village</t>
  </si>
  <si>
    <t xml:space="preserve">Hillary Rodham Clinton</t>
  </si>
  <si>
    <t xml:space="preserve">Sociedad / política</t>
  </si>
  <si>
    <t xml:space="preserve">Política de EE. UU. de los 90, envejecida</t>
  </si>
  <si>
    <t xml:space="preserve">Lies and the Lying Liars Who Tell Them</t>
  </si>
  <si>
    <t xml:space="preserve">Al Franken</t>
  </si>
  <si>
    <t xml:space="preserve">Sátira política</t>
  </si>
  <si>
    <t xml:space="preserve">Política de EE. UU. de los 2000, envejecida</t>
  </si>
  <si>
    <t xml:space="preserve">Living History</t>
  </si>
  <si>
    <t xml:space="preserve">Historia viva</t>
  </si>
  <si>
    <t xml:space="preserve">Memorias políticas</t>
  </si>
  <si>
    <t xml:space="preserve">Memoirs of General W. T. Sherman</t>
  </si>
  <si>
    <t xml:space="preserve">William Tecumseh Sherman</t>
  </si>
  <si>
    <t xml:space="preserve">1875</t>
  </si>
  <si>
    <t xml:space="preserve">Memorias / historia militar</t>
  </si>
  <si>
    <t xml:space="preserve">Memorias militares</t>
  </si>
  <si>
    <t xml:space="preserve">Molière: A Biography</t>
  </si>
  <si>
    <t xml:space="preserve">H. C. Chatfield-Taylor</t>
  </si>
  <si>
    <t xml:space="preserve">Biografía antigua</t>
  </si>
  <si>
    <t xml:space="preserve">My Life as Author and Editor</t>
  </si>
  <si>
    <t xml:space="preserve">Memorias de un editor</t>
  </si>
  <si>
    <t xml:space="preserve">Myra Waldo's Travel and Motoring Guide to Europe, 1978</t>
  </si>
  <si>
    <t xml:space="preserve">Myra Waldo</t>
  </si>
  <si>
    <t xml:space="preserve">1978</t>
  </si>
  <si>
    <t xml:space="preserve">Pigs at the Trough</t>
  </si>
  <si>
    <t xml:space="preserve">Arianna Huffington</t>
  </si>
  <si>
    <t xml:space="preserve">Política / economía</t>
  </si>
  <si>
    <t xml:space="preserve">Pushkin: A Biography</t>
  </si>
  <si>
    <t xml:space="preserve">T. J. Binyon</t>
  </si>
  <si>
    <t xml:space="preserve">Biografía extensa</t>
  </si>
  <si>
    <t xml:space="preserve">"R" Is for Ricochet</t>
  </si>
  <si>
    <t xml:space="preserve">Sue Grafton</t>
  </si>
  <si>
    <t xml:space="preserve">Entrega 18 de una saga de misterio</t>
  </si>
  <si>
    <t xml:space="preserve">Rapunzel</t>
  </si>
  <si>
    <t xml:space="preserve">Hermanos Grimm</t>
  </si>
  <si>
    <t xml:space="preserve">1812</t>
  </si>
  <si>
    <t xml:space="preserve">Cuento de hadas breve</t>
  </si>
  <si>
    <t xml:space="preserve">Robert's Rules of Order</t>
  </si>
  <si>
    <t xml:space="preserve">Henry M. Robert</t>
  </si>
  <si>
    <t xml:space="preserve">1876</t>
  </si>
  <si>
    <t xml:space="preserve">Referencia</t>
  </si>
  <si>
    <t xml:space="preserve">Manual de procedimiento</t>
  </si>
  <si>
    <t xml:space="preserve">Manual de reglas para asambleas</t>
  </si>
  <si>
    <t xml:space="preserve">"S" Is for Silence</t>
  </si>
  <si>
    <t xml:space="preserve">Entrega 19 de una saga de misterio</t>
  </si>
  <si>
    <t xml:space="preserve">Selected Letters of Dawn Powell, 1913–1965</t>
  </si>
  <si>
    <t xml:space="preserve">Cartas; para fans de la autora</t>
  </si>
  <si>
    <t xml:space="preserve">Snow-White and Rose-Red</t>
  </si>
  <si>
    <t xml:space="preserve">1837</t>
  </si>
  <si>
    <t xml:space="preserve">Social Origins of Dictatorship and Democracy</t>
  </si>
  <si>
    <t xml:space="preserve">Los orígenes sociales de la dictadura y de la democracia</t>
  </si>
  <si>
    <t xml:space="preserve">Barrington Moore Jr.</t>
  </si>
  <si>
    <t xml:space="preserve">Sociología histórica</t>
  </si>
  <si>
    <t xml:space="preserve">Sociología histórica académica</t>
  </si>
  <si>
    <t xml:space="preserve">Duplicado: el mismo libro sigue en la lista (nivel 3)</t>
  </si>
  <si>
    <t xml:space="preserve">The Fall of the Athenian Empire</t>
  </si>
  <si>
    <t xml:space="preserve">The Holy Barbarians</t>
  </si>
  <si>
    <t xml:space="preserve">Lawrence Lipton</t>
  </si>
  <si>
    <t xml:space="preserve">Crónica beat</t>
  </si>
  <si>
    <t xml:space="preserve">Crónica sociológica de la generación beat, muy de nicho</t>
  </si>
  <si>
    <t xml:space="preserve">The Mojo Collection: The Ultimate Music Companion</t>
  </si>
  <si>
    <t xml:space="preserve">Jim Irvin (ed.)</t>
  </si>
  <si>
    <t xml:space="preserve">Música</t>
  </si>
  <si>
    <t xml:space="preserve">Obra de referencia musical</t>
  </si>
  <si>
    <t xml:space="preserve">The Nanny Diaries</t>
  </si>
  <si>
    <t xml:space="preserve">Diario de una niñera</t>
  </si>
  <si>
    <t xml:space="preserve">Emma McLaughlin y Nicola Kraus</t>
  </si>
  <si>
    <t xml:space="preserve">Novela ligera muy ligada a su época</t>
  </si>
  <si>
    <t xml:space="preserve">The New Way Things Work</t>
  </si>
  <si>
    <t xml:space="preserve">Cómo funcionan las cosas</t>
  </si>
  <si>
    <t xml:space="preserve">David Macaulay</t>
  </si>
  <si>
    <t xml:space="preserve">Divulgación</t>
  </si>
  <si>
    <t xml:space="preserve">Divulgación técnica ilustrada</t>
  </si>
  <si>
    <t xml:space="preserve">The Norton Anthology of Theory and Criticism</t>
  </si>
  <si>
    <t xml:space="preserve">Vincent B. Leitch (ed. general) y otros</t>
  </si>
  <si>
    <t xml:space="preserve">Teoría literaria</t>
  </si>
  <si>
    <t xml:space="preserve">Antología académica enorme de teoría literaria</t>
  </si>
  <si>
    <t xml:space="preserve">The Outbreak of the Peloponnesian War</t>
  </si>
  <si>
    <t xml:space="preserve">The Peace of Nicias and the Sicilian Expedition</t>
  </si>
  <si>
    <t xml:space="preserve">The Price of Loyalty</t>
  </si>
  <si>
    <t xml:space="preserve">Ron Suskind</t>
  </si>
  <si>
    <t xml:space="preserve">Periodismo político</t>
  </si>
  <si>
    <t xml:space="preserve">The Rough Guide to Europe, 2003 Edition</t>
  </si>
  <si>
    <t xml:space="preserve">Varios (Rough Guides)</t>
  </si>
  <si>
    <t xml:space="preserve">The Scarecrow of Oz</t>
  </si>
  <si>
    <t xml:space="preserve">El espantapájaros de Oz</t>
  </si>
  <si>
    <t xml:space="preserve">Infantil; sería mejor empezar por El mago de Oz (nº 315)</t>
  </si>
  <si>
    <t xml:space="preserve">The Vanishing Newspaper</t>
  </si>
  <si>
    <t xml:space="preserve">Philip Meyer</t>
  </si>
  <si>
    <t xml:space="preserve">Periodismo / medios</t>
  </si>
  <si>
    <t xml:space="preserve">Ensayo sobre el negocio de la prensa</t>
  </si>
  <si>
    <t xml:space="preserve">The Velvet Underground and Nico (33⅓)</t>
  </si>
  <si>
    <t xml:space="preserve">Joe Harvard</t>
  </si>
  <si>
    <t xml:space="preserve">Ensayo breve sobre un disco</t>
  </si>
  <si>
    <t xml:space="preserve">We Owe You Nothing: Punk Planet, The Collected Interviews</t>
  </si>
  <si>
    <t xml:space="preserve">Daniel Sinker (ed.)</t>
  </si>
  <si>
    <t xml:space="preserve">Entrevistas / punk</t>
  </si>
  <si>
    <t xml:space="preserve">Entrevistas de una revista punk</t>
  </si>
  <si>
    <t xml:space="preserve">What Color Is Your Parachute? 2005</t>
  </si>
  <si>
    <t xml:space="preserve">¿De qué color es tu paracaídas?</t>
  </si>
  <si>
    <t xml:space="preserve">Richard Nelson Bolles</t>
  </si>
  <si>
    <t xml:space="preserve">Autoayuda</t>
  </si>
  <si>
    <t xml:space="preserve">Búsqueda de empleo</t>
  </si>
  <si>
    <t xml:space="preserve">Larousse Wine</t>
  </si>
  <si>
    <t xml:space="preserve">Varios (Larousse)</t>
  </si>
  <si>
    <t xml:space="preserve">Enología</t>
  </si>
  <si>
    <t xml:space="preserve">Obra de referencia sobre vino</t>
  </si>
  <si>
    <t xml:space="preserve">The Last Lion: Winston Spencer Churchill (vols. 1–3)</t>
  </si>
  <si>
    <t xml:space="preserve">William Manchester (vol. 3 con Paul Reid)</t>
  </si>
  <si>
    <t xml:space="preserve">1983–2012</t>
  </si>
  <si>
    <t xml:space="preserve">Who Moved My Cheese?</t>
  </si>
  <si>
    <t xml:space="preserve">¿Quién se ha llevado mi queso?</t>
  </si>
  <si>
    <t xml:space="preserve">Spencer Johnson</t>
  </si>
  <si>
    <t xml:space="preserve">Autoayuda / fábula</t>
  </si>
  <si>
    <t xml:space="preserve">Who's Who and What's What in Shakespeare</t>
  </si>
  <si>
    <t xml:space="preserve">Referencia literaria</t>
  </si>
  <si>
    <t xml:space="preserve">Obra de consulta sin autor ni edición identificables</t>
  </si>
  <si>
    <t xml:space="preserve">Written in Blood: The Story of the Haitian People, 1492–1995</t>
  </si>
  <si>
    <t xml:space="preserve">Robert Debs Heinl y Nancy Gordon Heinl (rev. Michael Heinl)</t>
  </si>
  <si>
    <t xml:space="preserve">Historia de Haití muy extensa</t>
  </si>
  <si>
    <t xml:space="preserve">Año (1ª publ.)</t>
  </si>
  <si>
    <t xml:space="preserve">País del autor</t>
  </si>
  <si>
    <t xml:space="preserve">Idioma original</t>
  </si>
  <si>
    <t xml:space="preserve">Premios destacados</t>
  </si>
  <si>
    <t xml:space="preserve">Notas / erratas del PDF</t>
  </si>
  <si>
    <t xml:space="preserve">Nivel criba</t>
  </si>
  <si>
    <t xml:space="preserve">Reino Unido</t>
  </si>
  <si>
    <t xml:space="preserve">Inglés</t>
  </si>
  <si>
    <t xml:space="preserve">EE. UU.</t>
  </si>
  <si>
    <t xml:space="preserve">Recopilación póstuma</t>
  </si>
  <si>
    <t xml:space="preserve">En el PDF: "A Comedy of Errors"</t>
  </si>
  <si>
    <t xml:space="preserve">Pulitzer de Ficción 1981</t>
  </si>
  <si>
    <t xml:space="preserve">Publicada póstumamente</t>
  </si>
  <si>
    <t xml:space="preserve">Finalista Pulitzer 2001</t>
  </si>
  <si>
    <t xml:space="preserve">El PDF omite a la coautora Anna Schwartz</t>
  </si>
  <si>
    <t xml:space="preserve">Pulitzer de Teatro 1948</t>
  </si>
  <si>
    <t xml:space="preserve">En el PDF: "Desiree"</t>
  </si>
  <si>
    <t xml:space="preserve">Irlanda / EE. UU.</t>
  </si>
  <si>
    <t xml:space="preserve">Pulitzer de Biografía 1997</t>
  </si>
  <si>
    <t xml:space="preserve">Rusia</t>
  </si>
  <si>
    <t xml:space="preserve">Ruso</t>
  </si>
  <si>
    <t xml:space="preserve">Alemania / Países Bajos</t>
  </si>
  <si>
    <t xml:space="preserve">Neerlandés</t>
  </si>
  <si>
    <t xml:space="preserve">2º de sus 4 volúmenes sobre la Guerra del Peloponeso (ver 238, 282, 284)</t>
  </si>
  <si>
    <t xml:space="preserve">Finalista Booker 2001</t>
  </si>
  <si>
    <t xml:space="preserve">EE. UU. / Irlanda</t>
  </si>
  <si>
    <t xml:space="preserve">Título original en UK: "The Sheep-Pig"</t>
  </si>
  <si>
    <t xml:space="preserve">National Book Critics Circle 1991</t>
  </si>
  <si>
    <t xml:space="preserve">China / Francia</t>
  </si>
  <si>
    <t xml:space="preserve">Francés</t>
  </si>
  <si>
    <t xml:space="preserve">Orange Prize 2002; PEN/Faulkner 2002</t>
  </si>
  <si>
    <t xml:space="preserve">Pulitzer de Ficción 1988</t>
  </si>
  <si>
    <t xml:space="preserve">Inglaterra (anónimo) / Irlanda (trad.)</t>
  </si>
  <si>
    <t xml:space="preserve">Inglés antiguo</t>
  </si>
  <si>
    <t xml:space="preserve">Whitbread Book of the Year 1999 (trad.)</t>
  </si>
  <si>
    <t xml:space="preserve">Original anónimo, entre los s. VIII y XI; el año es el de la traducción</t>
  </si>
  <si>
    <t xml:space="preserve">Reino Unido / Bangladés</t>
  </si>
  <si>
    <t xml:space="preserve">Finalista Booker 2003</t>
  </si>
  <si>
    <t xml:space="preserve">En el PDF: "Bridgadoon"</t>
  </si>
  <si>
    <t xml:space="preserve">Francia</t>
  </si>
  <si>
    <t xml:space="preserve">Primera novela publicada de King</t>
  </si>
  <si>
    <t xml:space="preserve">El PDF no indica autor</t>
  </si>
  <si>
    <t xml:space="preserve">Newbery Honor 1953</t>
  </si>
  <si>
    <t xml:space="preserve">No existe un único volumen con ese título: la Library of America editó sus novelas en 2 tomos (2001). Ver nº 153</t>
  </si>
  <si>
    <t xml:space="preserve">Recopilación de Penguin</t>
  </si>
  <si>
    <t xml:space="preserve">En el PDF: "Honor'e"</t>
  </si>
  <si>
    <t xml:space="preserve">Transcurre en un julio asfixiante en San Petersburgo</t>
  </si>
  <si>
    <t xml:space="preserve">EE. UU. / Reino Unido</t>
  </si>
  <si>
    <t xml:space="preserve">Chile</t>
  </si>
  <si>
    <t xml:space="preserve">Español</t>
  </si>
  <si>
    <t xml:space="preserve">Rusia (nacido en Ucrania)</t>
  </si>
  <si>
    <t xml:space="preserve">Pulitzer de Teatro 1949</t>
  </si>
  <si>
    <t xml:space="preserve">También traducida como "Los endemoniados"</t>
  </si>
  <si>
    <t xml:space="preserve">España</t>
  </si>
  <si>
    <t xml:space="preserve">La primera salida de don Quijote es en julio</t>
  </si>
  <si>
    <t xml:space="preserve">Pulitzer de Teatro 1988</t>
  </si>
  <si>
    <t xml:space="preserve">En el PDF: "Uhrv"</t>
  </si>
  <si>
    <t xml:space="preserve">Recopilación; fechas de escritura de los originales</t>
  </si>
  <si>
    <t xml:space="preserve">Biografía en 3 volúmenes (1992, 1999, 2016)</t>
  </si>
  <si>
    <t xml:space="preserve">En el PDF: "Roger Reger"</t>
  </si>
  <si>
    <t xml:space="preserve">Pulitzer de Ficción 2002</t>
  </si>
  <si>
    <t xml:space="preserve">Países Bajos</t>
  </si>
  <si>
    <t xml:space="preserve">Latín</t>
  </si>
  <si>
    <t xml:space="preserve">Edición anual</t>
  </si>
  <si>
    <t xml:space="preserve">Palma de Oro Cannes 2004</t>
  </si>
  <si>
    <t xml:space="preserve">Es una película documental; existe el libro "The Official Fahrenheit 9/11 Reader" (2004)</t>
  </si>
  <si>
    <t xml:space="preserve">Tony al Mejor Musical 1965</t>
  </si>
  <si>
    <t xml:space="preserve">Irlanda</t>
  </si>
  <si>
    <t xml:space="preserve">El título real no lleva apóstrofo</t>
  </si>
  <si>
    <t xml:space="preserve">Edgar a la Mejor Primera Novela 1975</t>
  </si>
  <si>
    <t xml:space="preserve">Nebula 1966 (novela); Hugo 1960 (relato)</t>
  </si>
  <si>
    <t xml:space="preserve">Ampliación del relato de 1959</t>
  </si>
  <si>
    <t xml:space="preserve">Título y autor cortados en el PDF</t>
  </si>
  <si>
    <t xml:space="preserve">Checoslovaquia / EE. UU.</t>
  </si>
  <si>
    <t xml:space="preserve">En el PDF: "Fredrick"</t>
  </si>
  <si>
    <t xml:space="preserve">Reino Unido (tradicional)</t>
  </si>
  <si>
    <t xml:space="preserve">Cuento popular; primera versión impresa de Robert Southey (1837)</t>
  </si>
  <si>
    <t xml:space="preserve">Pulitzer de Ficción 1937</t>
  </si>
  <si>
    <t xml:space="preserve">Empieza en Nochebuena</t>
  </si>
  <si>
    <t xml:space="preserve">Hugo 2001</t>
  </si>
  <si>
    <t xml:space="preserve">Título británico: "Philosopher's Stone"</t>
  </si>
  <si>
    <t xml:space="preserve">Reino Unido (nacido en Polonia)</t>
  </si>
  <si>
    <t xml:space="preserve">Edgar al Mejor True Crime 1975</t>
  </si>
  <si>
    <t xml:space="preserve">Culmina en Agincourt, el 25 de octubre</t>
  </si>
  <si>
    <t xml:space="preserve">Finalista National Book Award 1999</t>
  </si>
  <si>
    <t xml:space="preserve">En el PDF aparece "(Lpr)" sin sentido</t>
  </si>
  <si>
    <t xml:space="preserve">Reino Unido / Australia</t>
  </si>
  <si>
    <t xml:space="preserve">En el PDF: "Gingsburg"</t>
  </si>
  <si>
    <t xml:space="preserve">Los asesinatos ocurren en noviembre de 1959</t>
  </si>
  <si>
    <t xml:space="preserve">Italia</t>
  </si>
  <si>
    <t xml:space="preserve">Italiano</t>
  </si>
  <si>
    <t xml:space="preserve">Primera parte de La Divina Comedia (nº 235)</t>
  </si>
  <si>
    <t xml:space="preserve">Basada en el juicio Scopes (julio de 1925)</t>
  </si>
  <si>
    <t xml:space="preserve">Pulitzer de Ficción 1984</t>
  </si>
  <si>
    <t xml:space="preserve">Transcurre en torno a Halloween de 1938</t>
  </si>
  <si>
    <t xml:space="preserve">Grammy (audiolibro) 1997</t>
  </si>
  <si>
    <t xml:space="preserve">Los idus de marzo</t>
  </si>
  <si>
    <t xml:space="preserve">Transcurre en las vacaciones de Navidad</t>
  </si>
  <si>
    <t xml:space="preserve">Austria-Hungría (Praga)</t>
  </si>
  <si>
    <t xml:space="preserve">Alemán</t>
  </si>
  <si>
    <t xml:space="preserve">Publicadas póstumamente</t>
  </si>
  <si>
    <t xml:space="preserve">Canadá</t>
  </si>
  <si>
    <t xml:space="preserve">Booker 2002</t>
  </si>
  <si>
    <t xml:space="preserve">Empieza en Navidad</t>
  </si>
  <si>
    <t xml:space="preserve">El PDF omite el apellido</t>
  </si>
  <si>
    <t xml:space="preserve">En el PDF: "H. R. Mencken"</t>
  </si>
  <si>
    <t xml:space="preserve">Pulitzer de Ficción 2003</t>
  </si>
  <si>
    <t xml:space="preserve">Ismael zarpa en diciembre, el día de Navidad</t>
  </si>
  <si>
    <t xml:space="preserve">Memorias de la ama de llaves de Proust</t>
  </si>
  <si>
    <t xml:space="preserve">Transcurre en un día de junio</t>
  </si>
  <si>
    <t xml:space="preserve">La matanza fue en marzo de 1968</t>
  </si>
  <si>
    <t xml:space="preserve">Póstumo. En el PDF: "H. R. Mencken"</t>
  </si>
  <si>
    <t xml:space="preserve">Edición de William H. Shurr</t>
  </si>
  <si>
    <t xml:space="preserve">Rumanía / EE. UU.</t>
  </si>
  <si>
    <t xml:space="preserve">Francés (versión previa en yidis, 1956)</t>
  </si>
  <si>
    <t xml:space="preserve">Nobel de la Paz 1986 (autor)</t>
  </si>
  <si>
    <t xml:space="preserve">EE. UU. (nacido en Alemania)</t>
  </si>
  <si>
    <t xml:space="preserve">Library of America. Título cortado en el PDF; ver nº 44</t>
  </si>
  <si>
    <t xml:space="preserve">Colombia</t>
  </si>
  <si>
    <t xml:space="preserve">Nobel de Literatura 1982 (autor)</t>
  </si>
  <si>
    <t xml:space="preserve">Transcurre en septiembre de 1982</t>
  </si>
  <si>
    <t xml:space="preserve">EE. UU. (nacida en Grecia)</t>
  </si>
  <si>
    <t xml:space="preserve">Suecia</t>
  </si>
  <si>
    <t xml:space="preserve">Sueco</t>
  </si>
  <si>
    <t xml:space="preserve">En el PDF: "Pipi"</t>
  </si>
  <si>
    <t xml:space="preserve">Orange Prize 2003</t>
  </si>
  <si>
    <t xml:space="preserve">Samuel Johnson Prize 2003</t>
  </si>
  <si>
    <t xml:space="preserve">Nobel de Literatura 1925 (autor)</t>
  </si>
  <si>
    <t xml:space="preserve">Año no verificado. En el PDF: "Mckean"</t>
  </si>
  <si>
    <t xml:space="preserve">Serie Kinsey Millhone</t>
  </si>
  <si>
    <t xml:space="preserve">Alemania</t>
  </si>
  <si>
    <t xml:space="preserve">Irán / EE. UU.</t>
  </si>
  <si>
    <t xml:space="preserve">Incluida en "Las cuatro estaciones" (Different Seasons), en la parte "Hope Springs Eternal" = primavera</t>
  </si>
  <si>
    <t xml:space="preserve">El PDF dice "Roman Holiday" (es una película); Wharton escribió "Roman Fever"</t>
  </si>
  <si>
    <t xml:space="preserve">Transcurre en julio</t>
  </si>
  <si>
    <t xml:space="preserve">Alemania / EE. UU.</t>
  </si>
  <si>
    <t xml:space="preserve">Edición de Tim Page</t>
  </si>
  <si>
    <t xml:space="preserve">1ª parte de "La crucifixión rosada"</t>
  </si>
  <si>
    <t xml:space="preserve">En el PDF: "Shaefer"</t>
  </si>
  <si>
    <t xml:space="preserve">Alemania / Suiza</t>
  </si>
  <si>
    <t xml:space="preserve">Nobel de Literatura 1946 (autor)</t>
  </si>
  <si>
    <t xml:space="preserve">Bombardeo de Dresde, febrero de 1945</t>
  </si>
  <si>
    <t xml:space="preserve">Orange Prize 2004; Whitbread Book of the Year 2004</t>
  </si>
  <si>
    <t xml:space="preserve">Nobel de Literatura 1954 (autor)</t>
  </si>
  <si>
    <t xml:space="preserve">Autor cortado en el PDF</t>
  </si>
  <si>
    <t xml:space="preserve">Puerto Rico</t>
  </si>
  <si>
    <t xml:space="preserve">Edición bilingüe</t>
  </si>
  <si>
    <t xml:space="preserve">En Reino Unido se publicó como "31 Songs"</t>
  </si>
  <si>
    <t xml:space="preserve">En el PDF: "Portuegese"</t>
  </si>
  <si>
    <t xml:space="preserve">National Book Award 1980</t>
  </si>
  <si>
    <t xml:space="preserve">Verano de 1947 en Brooklyn</t>
  </si>
  <si>
    <t xml:space="preserve">Rusia / EE. UU.</t>
  </si>
  <si>
    <t xml:space="preserve">Versión revisada en 1966</t>
  </si>
  <si>
    <t xml:space="preserve">Los Sanfermines de Pamplona</t>
  </si>
  <si>
    <t xml:space="preserve">1er tomo de "En busca del tiempo perdido"</t>
  </si>
  <si>
    <t xml:space="preserve">En el PDF: "Collett"</t>
  </si>
  <si>
    <t xml:space="preserve">Riviera francesa</t>
  </si>
  <si>
    <t xml:space="preserve">En el PDF: "Term"</t>
  </si>
  <si>
    <t xml:space="preserve">Pulitzer de Ficción 2001</t>
  </si>
  <si>
    <t xml:space="preserve">En el PDF: "M.E.K."</t>
  </si>
  <si>
    <t xml:space="preserve">China</t>
  </si>
  <si>
    <t xml:space="preserve">Chino clásico</t>
  </si>
  <si>
    <t xml:space="preserve">Veraneo en Grand Isle</t>
  </si>
  <si>
    <t xml:space="preserve">Verano de 1953</t>
  </si>
  <si>
    <t xml:space="preserve">India</t>
  </si>
  <si>
    <t xml:space="preserve">Sánscrito</t>
  </si>
  <si>
    <t xml:space="preserve">Forma parte del Mahabharata</t>
  </si>
  <si>
    <t xml:space="preserve">Hebreo, arameo y griego</t>
  </si>
  <si>
    <t xml:space="preserve">Subtítulo cortado en el PDF</t>
  </si>
  <si>
    <t xml:space="preserve">Inglaterra</t>
  </si>
  <si>
    <t xml:space="preserve">Inglés medio</t>
  </si>
  <si>
    <t xml:space="preserve">El prólogo arranca en abril</t>
  </si>
  <si>
    <t xml:space="preserve">Diciembre en Nueva York</t>
  </si>
  <si>
    <t xml:space="preserve">Duplicado con el nº 226</t>
  </si>
  <si>
    <t xml:space="preserve">DUPLICADO del nº 225</t>
  </si>
  <si>
    <t xml:space="preserve">Pulitzer de Poesía 1967 (autora)</t>
  </si>
  <si>
    <t xml:space="preserve">Países Bajos / Australia</t>
  </si>
  <si>
    <t xml:space="preserve">Tony a la Mejor Obra 1953</t>
  </si>
  <si>
    <t xml:space="preserve">Juicios de Salem, primavera de 1692</t>
  </si>
  <si>
    <t xml:space="preserve">Whitbread Book of the Year 2003</t>
  </si>
  <si>
    <t xml:space="preserve">Edgar al Mejor True Crime 2004</t>
  </si>
  <si>
    <t xml:space="preserve">Exposición de Chicago de 1893. Autor cortado en el PDF</t>
  </si>
  <si>
    <t xml:space="preserve">Autores cortados en el PDF</t>
  </si>
  <si>
    <t xml:space="preserve">Transcurre en Semana Santa de 1300. Incluye el Infierno (nº 112)</t>
  </si>
  <si>
    <t xml:space="preserve">4º volumen sobre la Guerra del Peloponeso</t>
  </si>
  <si>
    <t xml:space="preserve">Frodo sale de Bolsón Cerrado en septiembre</t>
  </si>
  <si>
    <t xml:space="preserve">EE. UU. (nacida en Rusia)</t>
  </si>
  <si>
    <t xml:space="preserve">National Book Award 1980; National Book Critics Circle 1979</t>
  </si>
  <si>
    <t xml:space="preserve">Booker 1997</t>
  </si>
  <si>
    <t xml:space="preserve">Época de monzón en Kerala</t>
  </si>
  <si>
    <t xml:space="preserve">En el PDF: "Maddox"</t>
  </si>
  <si>
    <t xml:space="preserve">Pulitzer de Ficción 1940</t>
  </si>
  <si>
    <t xml:space="preserve">Empieza en una boda en junio de 1933</t>
  </si>
  <si>
    <t xml:space="preserve">Empieza el 6 de enero de 1482</t>
  </si>
  <si>
    <t xml:space="preserve">Grecia antigua</t>
  </si>
  <si>
    <t xml:space="preserve">Griego antiguo</t>
  </si>
  <si>
    <t xml:space="preserve">Julio de 1918, Ekaterimburgo</t>
  </si>
  <si>
    <t xml:space="preserve">Afganistán / EE. UU.</t>
  </si>
  <si>
    <t xml:space="preserve">El torneo de cometas es en invierno</t>
  </si>
  <si>
    <t xml:space="preserve">Dinamarca</t>
  </si>
  <si>
    <t xml:space="preserve">Danés</t>
  </si>
  <si>
    <t xml:space="preserve">Nochevieja</t>
  </si>
  <si>
    <t xml:space="preserve">"La lotería" ocurre el 27 de junio</t>
  </si>
  <si>
    <t xml:space="preserve">En el PDF: "The Love Story"</t>
  </si>
  <si>
    <t xml:space="preserve">6 de diciembre de 1973</t>
  </si>
  <si>
    <t xml:space="preserve">Governor General's Award 1972</t>
  </si>
  <si>
    <t xml:space="preserve">Moscú en Semana Santa. Publicada póstumamente</t>
  </si>
  <si>
    <t xml:space="preserve">Puerto Rico / EE. UU.</t>
  </si>
  <si>
    <t xml:space="preserve">Tony a la Mejor Obra 1960</t>
  </si>
  <si>
    <t xml:space="preserve">Sobre Helen Keller (ver nº 307)</t>
  </si>
  <si>
    <t xml:space="preserve">Noviembre de 1327</t>
  </si>
  <si>
    <t xml:space="preserve">EE. UU. (familia india)</t>
  </si>
  <si>
    <t xml:space="preserve">El PDF omite a Nicola Kraus</t>
  </si>
  <si>
    <t xml:space="preserve">EE. UU. (nacido en Reino Unido)</t>
  </si>
  <si>
    <t xml:space="preserve">Lista de editores cortada en el PDF</t>
  </si>
  <si>
    <t xml:space="preserve">1er volumen sobre la Guerra del Peloponeso</t>
  </si>
  <si>
    <t xml:space="preserve">La autora la escribió en el instituto</t>
  </si>
  <si>
    <t xml:space="preserve">3er volumen sobre la Guerra del Peloponeso</t>
  </si>
  <si>
    <t xml:space="preserve">Empieza con el curso escolar</t>
  </si>
  <si>
    <t xml:space="preserve">Columnas sobre lo que lee cada mes: muy a tono con el reto</t>
  </si>
  <si>
    <t xml:space="preserve">En el PDF: "Fredrich Nietzche"</t>
  </si>
  <si>
    <t xml:space="preserve">Ocurre en "un sombrío diciembre"</t>
  </si>
  <si>
    <t xml:space="preserve">El Anillo se destruye el 25 de marzo</t>
  </si>
  <si>
    <t xml:space="preserve">En el PDF: "Frank L. Baum"</t>
  </si>
  <si>
    <t xml:space="preserve">Julio de 1964</t>
  </si>
  <si>
    <t xml:space="preserve">Whitbread a la Primera Novela 2002</t>
  </si>
  <si>
    <t xml:space="preserve">"Shall I compare thee to a summer's day?"</t>
  </si>
  <si>
    <t xml:space="preserve">Nobel de Literatura 1949 (autor)</t>
  </si>
  <si>
    <t xml:space="preserve">Semana Santa de 1928</t>
  </si>
  <si>
    <t xml:space="preserve">"Now is the winter of our discontent"</t>
  </si>
  <si>
    <t xml:space="preserve">Edición de Karen V. Kukil</t>
  </si>
  <si>
    <t xml:space="preserve">En el PDF: "Meyers"</t>
  </si>
  <si>
    <t xml:space="preserve">National Book Award 2005</t>
  </si>
  <si>
    <t xml:space="preserve">Empieza el 30 de diciembre de 2003</t>
  </si>
  <si>
    <t xml:space="preserve">Pulitzer de Ficción 1939</t>
  </si>
  <si>
    <t xml:space="preserve">Empieza en abril</t>
  </si>
  <si>
    <t xml:space="preserve">Nueva York en enero de 1882</t>
  </si>
  <si>
    <t xml:space="preserve">Pulitzer de Ficción 1961</t>
  </si>
  <si>
    <t xml:space="preserve">Sobre su amistad con Lucy Grealy (ver nº 27)</t>
  </si>
  <si>
    <t xml:space="preserve">Transcurre el 16 de junio de 1904 (Bloomsday)</t>
  </si>
  <si>
    <t xml:space="preserve">Canadá (nacida en EE. UU.)</t>
  </si>
  <si>
    <t xml:space="preserve">Finalista Booker 2002</t>
  </si>
  <si>
    <t xml:space="preserve">Serie 33⅓. Autor cortado en el PDF</t>
  </si>
  <si>
    <t xml:space="preserve">Nobel de Literatura 1969 (autor)</t>
  </si>
  <si>
    <t xml:space="preserve">El libro culmina con la llegada de la primavera</t>
  </si>
  <si>
    <t xml:space="preserve">Austria</t>
  </si>
  <si>
    <t xml:space="preserve">En el PDF: "Walt Disney's Bambi"; la novela es anterior a la película (1942)</t>
  </si>
  <si>
    <t xml:space="preserve">Empieza en la primavera de 1942</t>
  </si>
  <si>
    <t xml:space="preserve">Francés / inglés</t>
  </si>
  <si>
    <t xml:space="preserve">Edición no identificable con el título del PDF</t>
  </si>
  <si>
    <t xml:space="preserve">Danés / inglés</t>
  </si>
  <si>
    <t xml:space="preserve">En el PDF: "Isac Dineson"</t>
  </si>
  <si>
    <t xml:space="preserve">Tres volúmenes en una sola entrada del PDF</t>
  </si>
  <si>
    <t xml:space="preserve">Reino Unido (nacido en Irlanda)</t>
  </si>
  <si>
    <t xml:space="preserve">En el PDF: "Oddssey"</t>
  </si>
  <si>
    <t xml:space="preserve">El PDF no indica autor ni edición</t>
  </si>
  <si>
    <t xml:space="preserve">Tony a la Mejor Obra 1963</t>
  </si>
  <si>
    <t xml:space="preserve">Edición revisada en 1996</t>
  </si>
  <si>
    <t xml:space="preserve">Rory Gilmore Reading Challenge · resumen</t>
  </si>
  <si>
    <t xml:space="preserve">Obras</t>
  </si>
  <si>
    <t xml:space="preserve">Leídas</t>
  </si>
  <si>
    <t xml:space="preserve">% del total</t>
  </si>
  <si>
    <t xml:space="preserve">Total</t>
  </si>
  <si>
    <t xml:space="preserve">Progreso total</t>
  </si>
  <si>
    <t xml:space="preserve">Notas</t>
  </si>
  <si>
    <t xml:space="preserve">Datos del PDF de The Gilmore Book Club (351 entradas). Títulos y autores corregidos; la errata original queda en la columna Notas.</t>
  </si>
  <si>
    <t xml:space="preserve">Año = primera publicación del original (para traducciones, antologías o guías, el de esa edición). 'c.' = fecha aproximada.</t>
  </si>
  <si>
    <t xml:space="preserve">Título en español solo cuando existe una edición española conocida; si está vacío, no se ha podido confirmar.</t>
  </si>
  <si>
    <t xml:space="preserve">Estación = la que mejor le pega a cada obra por ambientación o tono. Es subjetiva y está pensada para repartir después.</t>
  </si>
  <si>
    <t xml:space="preserve">Columna Leído: desplegable Sí / No / Leyendo. Alimenta los contadores de esta hoja.</t>
  </si>
  <si>
    <t xml:space="preserve">Ojo: 225 y 226 son el mismo libro; 112 (Inferno) forma parte de 235 (La Divina Comedia).</t>
  </si>
  <si>
    <t xml:space="preserve">Criba por nivel</t>
  </si>
  <si>
    <t xml:space="preserve">Quizá</t>
  </si>
  <si>
    <t xml:space="preserve">No</t>
  </si>
  <si>
    <t xml:space="preserve">Sin decidir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</si>
</sst>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4A3F35"/>
        <bgColor rgb="FF333300"/>
      </patternFill>
    </fill>
    <fill>
      <patternFill patternType="solid">
        <fgColor rgb="FF1B5E20"/>
        <bgColor rgb="FF4A3F35"/>
      </patternFill>
    </fill>
    <fill>
      <patternFill patternType="solid">
        <fgColor rgb="FFDDEBF7"/>
        <bgColor rgb="FFE2F0D9"/>
      </patternFill>
    </fill>
    <fill>
      <patternFill patternType="solid">
        <fgColor rgb="FFFFF2CC"/>
        <bgColor rgb="FFFFF9C4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DDEBF7"/>
      </patternFill>
    </fill>
    <fill>
      <patternFill patternType="solid">
        <fgColor rgb="FF388E3C"/>
        <bgColor rgb="FF008080"/>
      </patternFill>
    </fill>
    <fill>
      <patternFill patternType="solid">
        <fgColor rgb="FF7CB342"/>
        <bgColor rgb="FFC0CA33"/>
      </patternFill>
    </fill>
    <fill>
      <patternFill patternType="solid">
        <fgColor rgb="FFC0CA33"/>
        <bgColor rgb="FF7CB342"/>
      </patternFill>
    </fill>
    <fill>
      <patternFill patternType="solid">
        <fgColor rgb="FFFFB300"/>
        <bgColor rgb="FFFF9900"/>
      </patternFill>
    </fill>
    <fill>
      <patternFill patternType="solid">
        <fgColor rgb="FFF57C00"/>
        <bgColor rgb="FFFF9900"/>
      </patternFill>
    </fill>
    <fill>
      <patternFill patternType="solid">
        <fgColor rgb="FFC6282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 patternType="solid">
          <fgColor rgb="FF1B5E20"/>
          <bgColor rgb="FF000000"/>
        </patternFill>
      </fill>
    </dxf>
    <dxf>
      <fill>
        <patternFill patternType="solid">
          <fgColor rgb="FF388E3C"/>
          <bgColor rgb="FF000000"/>
        </patternFill>
      </fill>
    </dxf>
    <dxf>
      <fill>
        <patternFill patternType="solid">
          <fgColor rgb="FF4A3F35"/>
          <bgColor rgb="FF000000"/>
        </patternFill>
      </fill>
    </dxf>
    <dxf>
      <fill>
        <patternFill patternType="solid">
          <fgColor rgb="FF7CB342"/>
          <bgColor rgb="FF000000"/>
        </patternFill>
      </fill>
    </dxf>
    <dxf>
      <fill>
        <patternFill patternType="solid">
          <fgColor rgb="FFC0CA33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F57C00"/>
          <bgColor rgb="FF000000"/>
        </patternFill>
      </fill>
    </dxf>
    <dxf>
      <fill>
        <patternFill patternType="solid">
          <fgColor rgb="FFFFB3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B3E5FC"/>
          <bgColor rgb="FF000000"/>
        </patternFill>
      </fill>
    </dxf>
    <dxf>
      <fill>
        <patternFill patternType="solid">
          <fgColor rgb="FFD7CCC8"/>
          <bgColor rgb="FF000000"/>
        </patternFill>
      </fill>
    </dxf>
    <dxf>
      <fill>
        <patternFill patternType="solid">
          <fgColor rgb="FFE1BEE7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D7CCC8"/>
        </patternFill>
      </fill>
    </dxf>
    <dxf>
      <fill>
        <patternFill>
          <bgColor rgb="FFE1BEE7"/>
        </patternFill>
      </fill>
    </dxf>
    <dxf>
      <fill>
        <patternFill>
          <bgColor rgb="FFB3E5F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D7CCC8"/>
      <rgbColor rgb="FF808080"/>
      <rgbColor rgb="FF9999FF"/>
      <rgbColor rgb="FF993366"/>
      <rgbColor rgb="FFFFF9C4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8E6C9"/>
      <rgbColor rgb="FFE2F0D9"/>
      <rgbColor rgb="FFFFF2CC"/>
      <rgbColor rgb="FFB3E5FC"/>
      <rgbColor rgb="FFFCE4D6"/>
      <rgbColor rgb="FFE1BEE7"/>
      <rgbColor rgb="FFFFCDD2"/>
      <rgbColor rgb="FF3366FF"/>
      <rgbColor rgb="FF33CCCC"/>
      <rgbColor rgb="FFC0CA33"/>
      <rgbColor rgb="FFFFB300"/>
      <rgbColor rgb="FFFF9900"/>
      <rgbColor rgb="FFF57C00"/>
      <rgbColor rgb="FF666699"/>
      <rgbColor rgb="FF7CB342"/>
      <rgbColor rgb="FF003366"/>
      <rgbColor rgb="FF388E3C"/>
      <rgbColor rgb="FF003300"/>
      <rgbColor rgb="FF333300"/>
      <rgbColor rgb="FFC62828"/>
      <rgbColor rgb="FF993366"/>
      <rgbColor rgb="FF333399"/>
      <rgbColor rgb="FF4A3F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"/>
    <col collapsed="false" customWidth="true" hidden="false" outlineLevel="0" max="3" min="3" style="1" width="40"/>
    <col collapsed="false" customWidth="true" hidden="false" outlineLevel="0" max="4" min="4" style="1" width="32"/>
    <col collapsed="false" customWidth="true" hidden="false" outlineLevel="0" max="5" min="5" style="1" width="28"/>
    <col collapsed="false" customWidth="true" hidden="false" outlineLevel="0" max="6" min="6" style="1" width="11"/>
    <col collapsed="false" customWidth="true" hidden="false" outlineLevel="0" max="7" min="7" style="1" width="15"/>
    <col collapsed="false" customWidth="true" hidden="false" outlineLevel="0" max="8" min="8" style="1" width="24"/>
    <col collapsed="false" customWidth="true" hidden="false" outlineLevel="0" max="9" min="9" style="1" width="11"/>
    <col collapsed="false" customWidth="true" hidden="false" outlineLevel="0" max="10" min="10" style="1" width="44"/>
    <col collapsed="false" customWidth="true" hidden="false" outlineLevel="0" max="11" min="11" style="1" width="14"/>
    <col collapsed="false" customWidth="true" hidden="false" outlineLevel="0" max="13" min="12" style="1" width="2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customFormat="false" ht="15" hidden="false" customHeight="true" outlineLevel="0" collapsed="false">
      <c r="A2" s="4" t="s">
        <v>13</v>
      </c>
      <c r="B2" s="5" t="n">
        <v>1</v>
      </c>
      <c r="C2" s="6" t="s">
        <v>14</v>
      </c>
      <c r="D2" s="5"/>
      <c r="E2" s="5" t="s">
        <v>15</v>
      </c>
      <c r="F2" s="5" t="s">
        <v>16</v>
      </c>
      <c r="G2" s="5" t="s">
        <v>17</v>
      </c>
      <c r="H2" s="5" t="s">
        <v>18</v>
      </c>
      <c r="I2" s="7" t="s">
        <v>19</v>
      </c>
      <c r="J2" s="5" t="s">
        <v>20</v>
      </c>
      <c r="K2" s="5" t="s">
        <v>21</v>
      </c>
      <c r="L2" s="5" t="s">
        <v>22</v>
      </c>
      <c r="M2" s="5" t="s">
        <v>22</v>
      </c>
    </row>
    <row r="3" customFormat="false" ht="15" hidden="false" customHeight="true" outlineLevel="0" collapsed="false">
      <c r="A3" s="4" t="s">
        <v>13</v>
      </c>
      <c r="B3" s="5" t="n">
        <v>6</v>
      </c>
      <c r="C3" s="6" t="s">
        <v>23</v>
      </c>
      <c r="D3" s="5" t="s">
        <v>24</v>
      </c>
      <c r="E3" s="5" t="s">
        <v>25</v>
      </c>
      <c r="F3" s="5" t="s">
        <v>26</v>
      </c>
      <c r="G3" s="5" t="s">
        <v>17</v>
      </c>
      <c r="H3" s="5" t="s">
        <v>27</v>
      </c>
      <c r="I3" s="8" t="s">
        <v>28</v>
      </c>
      <c r="J3" s="5" t="s">
        <v>20</v>
      </c>
      <c r="K3" s="5"/>
      <c r="L3" s="5" t="s">
        <v>22</v>
      </c>
      <c r="M3" s="5"/>
    </row>
    <row r="4" customFormat="false" ht="15" hidden="false" customHeight="true" outlineLevel="0" collapsed="false">
      <c r="A4" s="4" t="s">
        <v>13</v>
      </c>
      <c r="B4" s="5" t="n">
        <v>13</v>
      </c>
      <c r="C4" s="6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9" t="s">
        <v>35</v>
      </c>
      <c r="J4" s="5" t="s">
        <v>20</v>
      </c>
      <c r="K4" s="5" t="s">
        <v>21</v>
      </c>
      <c r="L4" s="5" t="s">
        <v>22</v>
      </c>
      <c r="M4" s="5" t="s">
        <v>36</v>
      </c>
    </row>
    <row r="5" customFormat="false" ht="15" hidden="false" customHeight="true" outlineLevel="0" collapsed="false">
      <c r="A5" s="4" t="s">
        <v>13</v>
      </c>
      <c r="B5" s="5" t="n">
        <v>22</v>
      </c>
      <c r="C5" s="6" t="s">
        <v>37</v>
      </c>
      <c r="D5" s="5" t="s">
        <v>38</v>
      </c>
      <c r="E5" s="5" t="s">
        <v>39</v>
      </c>
      <c r="F5" s="5" t="s">
        <v>40</v>
      </c>
      <c r="G5" s="5" t="s">
        <v>17</v>
      </c>
      <c r="H5" s="5" t="s">
        <v>41</v>
      </c>
      <c r="I5" s="7" t="s">
        <v>19</v>
      </c>
      <c r="J5" s="5" t="s">
        <v>20</v>
      </c>
      <c r="K5" s="5" t="s">
        <v>21</v>
      </c>
      <c r="L5" s="5" t="s">
        <v>42</v>
      </c>
      <c r="M5" s="5" t="s">
        <v>42</v>
      </c>
    </row>
    <row r="6" customFormat="false" ht="15" hidden="false" customHeight="true" outlineLevel="0" collapsed="false">
      <c r="A6" s="4" t="s">
        <v>13</v>
      </c>
      <c r="B6" s="5" t="n">
        <v>25</v>
      </c>
      <c r="C6" s="6" t="s">
        <v>43</v>
      </c>
      <c r="D6" s="5" t="s">
        <v>44</v>
      </c>
      <c r="E6" s="5" t="s">
        <v>45</v>
      </c>
      <c r="F6" s="5" t="s">
        <v>46</v>
      </c>
      <c r="G6" s="5" t="s">
        <v>17</v>
      </c>
      <c r="H6" s="5" t="s">
        <v>47</v>
      </c>
      <c r="I6" s="8" t="s">
        <v>28</v>
      </c>
      <c r="J6" s="5" t="s">
        <v>20</v>
      </c>
      <c r="K6" s="5"/>
      <c r="L6" s="5"/>
      <c r="M6" s="5"/>
    </row>
    <row r="7" customFormat="false" ht="15" hidden="false" customHeight="true" outlineLevel="0" collapsed="false">
      <c r="A7" s="4" t="s">
        <v>13</v>
      </c>
      <c r="B7" s="5" t="n">
        <v>32</v>
      </c>
      <c r="C7" s="6" t="s">
        <v>48</v>
      </c>
      <c r="D7" s="5"/>
      <c r="E7" s="5" t="s">
        <v>49</v>
      </c>
      <c r="F7" s="5" t="s">
        <v>50</v>
      </c>
      <c r="G7" s="5" t="s">
        <v>17</v>
      </c>
      <c r="H7" s="5" t="s">
        <v>51</v>
      </c>
      <c r="I7" s="7" t="s">
        <v>19</v>
      </c>
      <c r="J7" s="5" t="s">
        <v>20</v>
      </c>
      <c r="K7" s="5"/>
      <c r="L7" s="5"/>
      <c r="M7" s="5"/>
    </row>
    <row r="8" customFormat="false" ht="15" hidden="false" customHeight="true" outlineLevel="0" collapsed="false">
      <c r="A8" s="4" t="s">
        <v>13</v>
      </c>
      <c r="B8" s="5" t="n">
        <v>35</v>
      </c>
      <c r="C8" s="6" t="s">
        <v>52</v>
      </c>
      <c r="D8" s="5" t="s">
        <v>53</v>
      </c>
      <c r="E8" s="5" t="s">
        <v>54</v>
      </c>
      <c r="F8" s="5" t="s">
        <v>55</v>
      </c>
      <c r="G8" s="5" t="s">
        <v>17</v>
      </c>
      <c r="H8" s="5" t="s">
        <v>18</v>
      </c>
      <c r="I8" s="10" t="s">
        <v>56</v>
      </c>
      <c r="J8" s="5" t="s">
        <v>20</v>
      </c>
      <c r="K8" s="5" t="s">
        <v>21</v>
      </c>
      <c r="L8" s="5" t="s">
        <v>22</v>
      </c>
      <c r="M8" s="5" t="s">
        <v>42</v>
      </c>
    </row>
    <row r="9" customFormat="false" ht="15" hidden="false" customHeight="true" outlineLevel="0" collapsed="false">
      <c r="A9" s="4" t="s">
        <v>13</v>
      </c>
      <c r="B9" s="5" t="n">
        <v>38</v>
      </c>
      <c r="C9" s="6" t="s">
        <v>57</v>
      </c>
      <c r="D9" s="5" t="s">
        <v>58</v>
      </c>
      <c r="E9" s="5" t="s">
        <v>59</v>
      </c>
      <c r="F9" s="5" t="s">
        <v>60</v>
      </c>
      <c r="G9" s="5" t="s">
        <v>17</v>
      </c>
      <c r="H9" s="5" t="s">
        <v>61</v>
      </c>
      <c r="I9" s="10" t="s">
        <v>56</v>
      </c>
      <c r="J9" s="5" t="s">
        <v>20</v>
      </c>
      <c r="K9" s="5"/>
      <c r="L9" s="5"/>
      <c r="M9" s="5"/>
    </row>
    <row r="10" customFormat="false" ht="15" hidden="false" customHeight="true" outlineLevel="0" collapsed="false">
      <c r="A10" s="4" t="s">
        <v>13</v>
      </c>
      <c r="B10" s="5" t="n">
        <v>40</v>
      </c>
      <c r="C10" s="6" t="s">
        <v>62</v>
      </c>
      <c r="D10" s="5" t="s">
        <v>63</v>
      </c>
      <c r="E10" s="5" t="s">
        <v>64</v>
      </c>
      <c r="F10" s="5" t="s">
        <v>65</v>
      </c>
      <c r="G10" s="5" t="s">
        <v>17</v>
      </c>
      <c r="H10" s="5" t="s">
        <v>66</v>
      </c>
      <c r="I10" s="8" t="s">
        <v>28</v>
      </c>
      <c r="J10" s="5" t="s">
        <v>20</v>
      </c>
      <c r="K10" s="5"/>
      <c r="L10" s="5"/>
      <c r="M10" s="5"/>
    </row>
    <row r="11" customFormat="false" ht="15" hidden="false" customHeight="true" outlineLevel="0" collapsed="false">
      <c r="A11" s="4" t="s">
        <v>13</v>
      </c>
      <c r="B11" s="5" t="n">
        <v>47</v>
      </c>
      <c r="C11" s="6" t="s">
        <v>67</v>
      </c>
      <c r="D11" s="5" t="s">
        <v>68</v>
      </c>
      <c r="E11" s="5" t="s">
        <v>69</v>
      </c>
      <c r="F11" s="5" t="s">
        <v>70</v>
      </c>
      <c r="G11" s="5" t="s">
        <v>17</v>
      </c>
      <c r="H11" s="5" t="s">
        <v>71</v>
      </c>
      <c r="I11" s="8" t="s">
        <v>28</v>
      </c>
      <c r="J11" s="5" t="s">
        <v>20</v>
      </c>
      <c r="K11" s="5" t="s">
        <v>21</v>
      </c>
      <c r="L11" s="5" t="s">
        <v>72</v>
      </c>
      <c r="M11" s="5" t="s">
        <v>72</v>
      </c>
    </row>
    <row r="12" customFormat="false" ht="23.25" hidden="false" customHeight="true" outlineLevel="0" collapsed="false">
      <c r="A12" s="4" t="s">
        <v>13</v>
      </c>
      <c r="B12" s="5" t="n">
        <v>57</v>
      </c>
      <c r="C12" s="6" t="s">
        <v>73</v>
      </c>
      <c r="D12" s="5" t="s">
        <v>74</v>
      </c>
      <c r="E12" s="5" t="s">
        <v>75</v>
      </c>
      <c r="F12" s="5" t="s">
        <v>76</v>
      </c>
      <c r="G12" s="5" t="s">
        <v>17</v>
      </c>
      <c r="H12" s="5" t="s">
        <v>77</v>
      </c>
      <c r="I12" s="8" t="s">
        <v>28</v>
      </c>
      <c r="J12" s="5" t="s">
        <v>78</v>
      </c>
      <c r="K12" s="5" t="s">
        <v>21</v>
      </c>
      <c r="L12" s="5"/>
      <c r="M12" s="5" t="s">
        <v>42</v>
      </c>
    </row>
    <row r="13" customFormat="false" ht="15" hidden="false" customHeight="true" outlineLevel="0" collapsed="false">
      <c r="A13" s="4" t="s">
        <v>13</v>
      </c>
      <c r="B13" s="5" t="n">
        <v>74</v>
      </c>
      <c r="C13" s="6" t="s">
        <v>79</v>
      </c>
      <c r="D13" s="5"/>
      <c r="E13" s="5" t="s">
        <v>80</v>
      </c>
      <c r="F13" s="5" t="s">
        <v>81</v>
      </c>
      <c r="G13" s="5" t="s">
        <v>17</v>
      </c>
      <c r="H13" s="5" t="s">
        <v>82</v>
      </c>
      <c r="I13" s="9" t="s">
        <v>35</v>
      </c>
      <c r="J13" s="5" t="s">
        <v>83</v>
      </c>
      <c r="K13" s="5" t="s">
        <v>21</v>
      </c>
      <c r="L13" s="5" t="s">
        <v>22</v>
      </c>
      <c r="M13" s="5" t="s">
        <v>22</v>
      </c>
    </row>
    <row r="14" customFormat="false" ht="15" hidden="false" customHeight="true" outlineLevel="0" collapsed="false">
      <c r="A14" s="4" t="s">
        <v>13</v>
      </c>
      <c r="B14" s="5" t="n">
        <v>82</v>
      </c>
      <c r="C14" s="6" t="s">
        <v>84</v>
      </c>
      <c r="D14" s="5" t="s">
        <v>85</v>
      </c>
      <c r="E14" s="5" t="s">
        <v>86</v>
      </c>
      <c r="F14" s="5" t="s">
        <v>87</v>
      </c>
      <c r="G14" s="5" t="s">
        <v>17</v>
      </c>
      <c r="H14" s="5" t="s">
        <v>88</v>
      </c>
      <c r="I14" s="7" t="s">
        <v>19</v>
      </c>
      <c r="J14" s="5" t="s">
        <v>20</v>
      </c>
      <c r="K14" s="5" t="s">
        <v>21</v>
      </c>
      <c r="L14" s="5" t="s">
        <v>22</v>
      </c>
      <c r="M14" s="5" t="s">
        <v>22</v>
      </c>
    </row>
    <row r="15" customFormat="false" ht="15" hidden="false" customHeight="true" outlineLevel="0" collapsed="false">
      <c r="A15" s="4" t="s">
        <v>13</v>
      </c>
      <c r="B15" s="5" t="n">
        <v>92</v>
      </c>
      <c r="C15" s="6" t="s">
        <v>89</v>
      </c>
      <c r="D15" s="5" t="s">
        <v>90</v>
      </c>
      <c r="E15" s="5" t="s">
        <v>91</v>
      </c>
      <c r="F15" s="5" t="s">
        <v>92</v>
      </c>
      <c r="G15" s="5" t="s">
        <v>17</v>
      </c>
      <c r="H15" s="5" t="s">
        <v>93</v>
      </c>
      <c r="I15" s="7" t="s">
        <v>19</v>
      </c>
      <c r="J15" s="5" t="s">
        <v>20</v>
      </c>
      <c r="K15" s="5" t="s">
        <v>21</v>
      </c>
      <c r="L15" s="5" t="s">
        <v>22</v>
      </c>
      <c r="M15" s="5" t="s">
        <v>42</v>
      </c>
    </row>
    <row r="16" customFormat="false" ht="15" hidden="false" customHeight="true" outlineLevel="0" collapsed="false">
      <c r="A16" s="4" t="s">
        <v>13</v>
      </c>
      <c r="B16" s="5" t="n">
        <v>93</v>
      </c>
      <c r="C16" s="6" t="s">
        <v>94</v>
      </c>
      <c r="D16" s="5"/>
      <c r="E16" s="5" t="s">
        <v>95</v>
      </c>
      <c r="F16" s="5" t="s">
        <v>96</v>
      </c>
      <c r="G16" s="5" t="s">
        <v>97</v>
      </c>
      <c r="H16" s="5" t="s">
        <v>98</v>
      </c>
      <c r="I16" s="7" t="s">
        <v>19</v>
      </c>
      <c r="J16" s="5" t="s">
        <v>20</v>
      </c>
      <c r="K16" s="5" t="s">
        <v>21</v>
      </c>
      <c r="L16" s="5" t="s">
        <v>22</v>
      </c>
      <c r="M16" s="5" t="s">
        <v>42</v>
      </c>
    </row>
    <row r="17" customFormat="false" ht="15" hidden="false" customHeight="true" outlineLevel="0" collapsed="false">
      <c r="A17" s="4" t="s">
        <v>13</v>
      </c>
      <c r="B17" s="5" t="n">
        <v>98</v>
      </c>
      <c r="C17" s="6" t="s">
        <v>99</v>
      </c>
      <c r="D17" s="5" t="s">
        <v>100</v>
      </c>
      <c r="E17" s="5" t="s">
        <v>101</v>
      </c>
      <c r="F17" s="5" t="s">
        <v>102</v>
      </c>
      <c r="G17" s="5" t="s">
        <v>103</v>
      </c>
      <c r="H17" s="5" t="s">
        <v>104</v>
      </c>
      <c r="I17" s="8" t="s">
        <v>28</v>
      </c>
      <c r="J17" s="5" t="s">
        <v>20</v>
      </c>
      <c r="K17" s="5"/>
      <c r="L17" s="5"/>
      <c r="M17" s="5"/>
    </row>
    <row r="18" customFormat="false" ht="23.25" hidden="false" customHeight="true" outlineLevel="0" collapsed="false">
      <c r="A18" s="4" t="s">
        <v>13</v>
      </c>
      <c r="B18" s="5" t="n">
        <v>111</v>
      </c>
      <c r="C18" s="6" t="s">
        <v>105</v>
      </c>
      <c r="D18" s="5" t="s">
        <v>106</v>
      </c>
      <c r="E18" s="5" t="s">
        <v>107</v>
      </c>
      <c r="F18" s="5" t="s">
        <v>108</v>
      </c>
      <c r="G18" s="5" t="s">
        <v>109</v>
      </c>
      <c r="H18" s="5" t="s">
        <v>110</v>
      </c>
      <c r="I18" s="9" t="s">
        <v>35</v>
      </c>
      <c r="J18" s="5" t="s">
        <v>20</v>
      </c>
      <c r="K18" s="5" t="s">
        <v>21</v>
      </c>
      <c r="L18" s="5"/>
      <c r="M18" s="5" t="s">
        <v>42</v>
      </c>
    </row>
    <row r="19" customFormat="false" ht="15" hidden="false" customHeight="true" outlineLevel="0" collapsed="false">
      <c r="A19" s="4" t="s">
        <v>13</v>
      </c>
      <c r="B19" s="5" t="n">
        <v>116</v>
      </c>
      <c r="C19" s="6" t="s">
        <v>111</v>
      </c>
      <c r="D19" s="5"/>
      <c r="E19" s="5" t="s">
        <v>112</v>
      </c>
      <c r="F19" s="5" t="s">
        <v>113</v>
      </c>
      <c r="G19" s="5" t="s">
        <v>17</v>
      </c>
      <c r="H19" s="5" t="s">
        <v>114</v>
      </c>
      <c r="I19" s="9" t="s">
        <v>35</v>
      </c>
      <c r="J19" s="5" t="s">
        <v>20</v>
      </c>
      <c r="K19" s="5" t="s">
        <v>21</v>
      </c>
      <c r="L19" s="5"/>
      <c r="M19" s="5" t="s">
        <v>36</v>
      </c>
    </row>
    <row r="20" customFormat="false" ht="15" hidden="false" customHeight="true" outlineLevel="0" collapsed="false">
      <c r="A20" s="4" t="s">
        <v>13</v>
      </c>
      <c r="B20" s="5" t="n">
        <v>128</v>
      </c>
      <c r="C20" s="6" t="s">
        <v>115</v>
      </c>
      <c r="D20" s="5" t="s">
        <v>116</v>
      </c>
      <c r="E20" s="5" t="s">
        <v>117</v>
      </c>
      <c r="F20" s="5" t="s">
        <v>118</v>
      </c>
      <c r="G20" s="5" t="s">
        <v>17</v>
      </c>
      <c r="H20" s="5" t="s">
        <v>119</v>
      </c>
      <c r="I20" s="8" t="s">
        <v>28</v>
      </c>
      <c r="J20" s="5" t="s">
        <v>20</v>
      </c>
      <c r="K20" s="5" t="s">
        <v>21</v>
      </c>
      <c r="L20" s="5" t="s">
        <v>22</v>
      </c>
      <c r="M20" s="5" t="s">
        <v>42</v>
      </c>
    </row>
    <row r="21" customFormat="false" ht="15" hidden="false" customHeight="true" outlineLevel="0" collapsed="false">
      <c r="A21" s="4" t="s">
        <v>13</v>
      </c>
      <c r="B21" s="5" t="n">
        <v>129</v>
      </c>
      <c r="C21" s="6" t="s">
        <v>120</v>
      </c>
      <c r="D21" s="5"/>
      <c r="E21" s="5" t="s">
        <v>95</v>
      </c>
      <c r="F21" s="5" t="s">
        <v>121</v>
      </c>
      <c r="G21" s="5" t="s">
        <v>97</v>
      </c>
      <c r="H21" s="5" t="s">
        <v>98</v>
      </c>
      <c r="I21" s="7" t="s">
        <v>19</v>
      </c>
      <c r="J21" s="5" t="s">
        <v>20</v>
      </c>
      <c r="K21" s="5" t="s">
        <v>21</v>
      </c>
      <c r="L21" s="5"/>
      <c r="M21" s="5" t="s">
        <v>42</v>
      </c>
    </row>
    <row r="22" customFormat="false" ht="15" hidden="false" customHeight="true" outlineLevel="0" collapsed="false">
      <c r="A22" s="4" t="s">
        <v>13</v>
      </c>
      <c r="B22" s="5" t="n">
        <v>130</v>
      </c>
      <c r="C22" s="6" t="s">
        <v>122</v>
      </c>
      <c r="D22" s="5"/>
      <c r="E22" s="5" t="s">
        <v>123</v>
      </c>
      <c r="F22" s="5" t="s">
        <v>124</v>
      </c>
      <c r="G22" s="5" t="s">
        <v>17</v>
      </c>
      <c r="H22" s="5" t="s">
        <v>125</v>
      </c>
      <c r="I22" s="9" t="s">
        <v>35</v>
      </c>
      <c r="J22" s="5" t="s">
        <v>20</v>
      </c>
      <c r="K22" s="5" t="s">
        <v>21</v>
      </c>
      <c r="L22" s="5"/>
      <c r="M22" s="5" t="s">
        <v>36</v>
      </c>
    </row>
    <row r="23" customFormat="false" ht="15" hidden="false" customHeight="true" outlineLevel="0" collapsed="false">
      <c r="A23" s="4" t="s">
        <v>13</v>
      </c>
      <c r="B23" s="5" t="n">
        <v>137</v>
      </c>
      <c r="C23" s="6" t="s">
        <v>126</v>
      </c>
      <c r="D23" s="5" t="s">
        <v>127</v>
      </c>
      <c r="E23" s="5" t="s">
        <v>128</v>
      </c>
      <c r="F23" s="5" t="s">
        <v>129</v>
      </c>
      <c r="G23" s="5" t="s">
        <v>17</v>
      </c>
      <c r="H23" s="5" t="s">
        <v>130</v>
      </c>
      <c r="I23" s="7" t="s">
        <v>19</v>
      </c>
      <c r="J23" s="5" t="s">
        <v>20</v>
      </c>
      <c r="K23" s="5" t="s">
        <v>21</v>
      </c>
      <c r="L23" s="5" t="s">
        <v>22</v>
      </c>
      <c r="M23" s="5" t="s">
        <v>42</v>
      </c>
    </row>
    <row r="24" customFormat="false" ht="15" hidden="false" customHeight="true" outlineLevel="0" collapsed="false">
      <c r="A24" s="4" t="s">
        <v>13</v>
      </c>
      <c r="B24" s="5" t="n">
        <v>140</v>
      </c>
      <c r="C24" s="6" t="s">
        <v>131</v>
      </c>
      <c r="D24" s="5" t="s">
        <v>132</v>
      </c>
      <c r="E24" s="5" t="s">
        <v>31</v>
      </c>
      <c r="F24" s="5" t="s">
        <v>133</v>
      </c>
      <c r="G24" s="5" t="s">
        <v>17</v>
      </c>
      <c r="H24" s="5" t="s">
        <v>134</v>
      </c>
      <c r="I24" s="8" t="s">
        <v>28</v>
      </c>
      <c r="J24" s="5" t="s">
        <v>20</v>
      </c>
      <c r="K24" s="5" t="s">
        <v>21</v>
      </c>
      <c r="L24" s="5"/>
      <c r="M24" s="5" t="s">
        <v>42</v>
      </c>
    </row>
    <row r="25" customFormat="false" ht="15" hidden="false" customHeight="true" outlineLevel="0" collapsed="false">
      <c r="A25" s="4" t="s">
        <v>13</v>
      </c>
      <c r="B25" s="5" t="n">
        <v>150</v>
      </c>
      <c r="C25" s="6" t="s">
        <v>135</v>
      </c>
      <c r="D25" s="5" t="s">
        <v>136</v>
      </c>
      <c r="E25" s="5" t="s">
        <v>137</v>
      </c>
      <c r="F25" s="5" t="s">
        <v>138</v>
      </c>
      <c r="G25" s="5" t="s">
        <v>139</v>
      </c>
      <c r="H25" s="5" t="s">
        <v>140</v>
      </c>
      <c r="I25" s="7" t="s">
        <v>19</v>
      </c>
      <c r="J25" s="5" t="s">
        <v>141</v>
      </c>
      <c r="K25" s="5"/>
      <c r="L25" s="5"/>
      <c r="M25" s="5"/>
    </row>
    <row r="26" customFormat="false" ht="15" hidden="false" customHeight="true" outlineLevel="0" collapsed="false">
      <c r="A26" s="4" t="s">
        <v>13</v>
      </c>
      <c r="B26" s="5" t="n">
        <v>154</v>
      </c>
      <c r="C26" s="6" t="s">
        <v>142</v>
      </c>
      <c r="D26" s="5" t="s">
        <v>143</v>
      </c>
      <c r="E26" s="5" t="s">
        <v>144</v>
      </c>
      <c r="F26" s="5" t="s">
        <v>145</v>
      </c>
      <c r="G26" s="5" t="s">
        <v>103</v>
      </c>
      <c r="H26" s="5" t="s">
        <v>146</v>
      </c>
      <c r="I26" s="8" t="s">
        <v>28</v>
      </c>
      <c r="J26" s="5" t="s">
        <v>147</v>
      </c>
      <c r="K26" s="5"/>
      <c r="L26" s="5"/>
      <c r="M26" s="5"/>
    </row>
    <row r="27" customFormat="false" ht="15" hidden="false" customHeight="true" outlineLevel="0" collapsed="false">
      <c r="A27" s="4" t="s">
        <v>13</v>
      </c>
      <c r="B27" s="5" t="n">
        <v>157</v>
      </c>
      <c r="C27" s="6" t="s">
        <v>148</v>
      </c>
      <c r="D27" s="5" t="s">
        <v>149</v>
      </c>
      <c r="E27" s="5" t="s">
        <v>150</v>
      </c>
      <c r="F27" s="5" t="s">
        <v>151</v>
      </c>
      <c r="G27" s="5" t="s">
        <v>17</v>
      </c>
      <c r="H27" s="5" t="s">
        <v>146</v>
      </c>
      <c r="I27" s="9" t="s">
        <v>35</v>
      </c>
      <c r="J27" s="5" t="s">
        <v>20</v>
      </c>
      <c r="K27" s="5"/>
      <c r="L27" s="5"/>
      <c r="M27" s="5"/>
    </row>
    <row r="28" customFormat="false" ht="15" hidden="false" customHeight="true" outlineLevel="0" collapsed="false">
      <c r="A28" s="4" t="s">
        <v>13</v>
      </c>
      <c r="B28" s="5" t="n">
        <v>158</v>
      </c>
      <c r="C28" s="6" t="s">
        <v>152</v>
      </c>
      <c r="D28" s="5" t="s">
        <v>153</v>
      </c>
      <c r="E28" s="5" t="s">
        <v>154</v>
      </c>
      <c r="F28" s="5" t="s">
        <v>155</v>
      </c>
      <c r="G28" s="5" t="s">
        <v>17</v>
      </c>
      <c r="H28" s="5" t="s">
        <v>156</v>
      </c>
      <c r="I28" s="8" t="s">
        <v>28</v>
      </c>
      <c r="J28" s="5" t="s">
        <v>20</v>
      </c>
      <c r="K28" s="5" t="s">
        <v>21</v>
      </c>
      <c r="L28" s="5" t="s">
        <v>22</v>
      </c>
      <c r="M28" s="5" t="s">
        <v>42</v>
      </c>
    </row>
    <row r="29" customFormat="false" ht="15" hidden="false" customHeight="true" outlineLevel="0" collapsed="false">
      <c r="A29" s="4" t="s">
        <v>13</v>
      </c>
      <c r="B29" s="5" t="n">
        <v>166</v>
      </c>
      <c r="C29" s="6" t="s">
        <v>157</v>
      </c>
      <c r="D29" s="5" t="s">
        <v>158</v>
      </c>
      <c r="E29" s="5" t="s">
        <v>159</v>
      </c>
      <c r="F29" s="5" t="s">
        <v>160</v>
      </c>
      <c r="G29" s="5" t="s">
        <v>17</v>
      </c>
      <c r="H29" s="5" t="s">
        <v>161</v>
      </c>
      <c r="I29" s="10" t="s">
        <v>56</v>
      </c>
      <c r="J29" s="5" t="s">
        <v>20</v>
      </c>
      <c r="K29" s="5" t="s">
        <v>21</v>
      </c>
      <c r="L29" s="5"/>
      <c r="M29" s="5" t="s">
        <v>22</v>
      </c>
    </row>
    <row r="30" customFormat="false" ht="15" hidden="false" customHeight="true" outlineLevel="0" collapsed="false">
      <c r="A30" s="4" t="s">
        <v>13</v>
      </c>
      <c r="B30" s="5" t="n">
        <v>174</v>
      </c>
      <c r="C30" s="6" t="s">
        <v>162</v>
      </c>
      <c r="D30" s="5" t="s">
        <v>163</v>
      </c>
      <c r="E30" s="5" t="s">
        <v>164</v>
      </c>
      <c r="F30" s="5" t="s">
        <v>165</v>
      </c>
      <c r="G30" s="5" t="s">
        <v>17</v>
      </c>
      <c r="H30" s="5" t="s">
        <v>166</v>
      </c>
      <c r="I30" s="9" t="s">
        <v>35</v>
      </c>
      <c r="J30" s="5" t="s">
        <v>20</v>
      </c>
      <c r="K30" s="5"/>
      <c r="L30" s="5"/>
      <c r="M30" s="5"/>
    </row>
    <row r="31" customFormat="false" ht="15" hidden="false" customHeight="true" outlineLevel="0" collapsed="false">
      <c r="A31" s="4" t="s">
        <v>13</v>
      </c>
      <c r="B31" s="5" t="n">
        <v>193</v>
      </c>
      <c r="C31" s="6" t="s">
        <v>167</v>
      </c>
      <c r="D31" s="5" t="s">
        <v>168</v>
      </c>
      <c r="E31" s="5" t="s">
        <v>169</v>
      </c>
      <c r="F31" s="5" t="s">
        <v>170</v>
      </c>
      <c r="G31" s="5" t="s">
        <v>17</v>
      </c>
      <c r="H31" s="5" t="s">
        <v>171</v>
      </c>
      <c r="I31" s="7" t="s">
        <v>19</v>
      </c>
      <c r="J31" s="5" t="s">
        <v>20</v>
      </c>
      <c r="K31" s="5"/>
      <c r="L31" s="5"/>
      <c r="M31" s="5"/>
    </row>
    <row r="32" customFormat="false" ht="15" hidden="false" customHeight="true" outlineLevel="0" collapsed="false">
      <c r="A32" s="4" t="s">
        <v>13</v>
      </c>
      <c r="B32" s="5" t="n">
        <v>205</v>
      </c>
      <c r="C32" s="6" t="s">
        <v>172</v>
      </c>
      <c r="D32" s="5" t="s">
        <v>173</v>
      </c>
      <c r="E32" s="5" t="s">
        <v>174</v>
      </c>
      <c r="F32" s="5" t="s">
        <v>175</v>
      </c>
      <c r="G32" s="5" t="s">
        <v>17</v>
      </c>
      <c r="H32" s="5" t="s">
        <v>176</v>
      </c>
      <c r="I32" s="8" t="s">
        <v>28</v>
      </c>
      <c r="J32" s="5" t="s">
        <v>20</v>
      </c>
      <c r="K32" s="5"/>
      <c r="L32" s="5"/>
      <c r="M32" s="5"/>
    </row>
    <row r="33" customFormat="false" ht="15" hidden="false" customHeight="true" outlineLevel="0" collapsed="false">
      <c r="A33" s="4" t="s">
        <v>13</v>
      </c>
      <c r="B33" s="5" t="n">
        <v>206</v>
      </c>
      <c r="C33" s="6" t="s">
        <v>177</v>
      </c>
      <c r="D33" s="5" t="s">
        <v>178</v>
      </c>
      <c r="E33" s="5" t="s">
        <v>179</v>
      </c>
      <c r="F33" s="5" t="s">
        <v>180</v>
      </c>
      <c r="G33" s="5" t="s">
        <v>17</v>
      </c>
      <c r="H33" s="5" t="s">
        <v>134</v>
      </c>
      <c r="I33" s="10" t="s">
        <v>56</v>
      </c>
      <c r="J33" s="5" t="s">
        <v>20</v>
      </c>
      <c r="K33" s="5"/>
      <c r="L33" s="5"/>
      <c r="M33" s="5"/>
    </row>
    <row r="34" customFormat="false" ht="15" hidden="false" customHeight="true" outlineLevel="0" collapsed="false">
      <c r="A34" s="4" t="s">
        <v>13</v>
      </c>
      <c r="B34" s="5" t="n">
        <v>217</v>
      </c>
      <c r="C34" s="6" t="s">
        <v>181</v>
      </c>
      <c r="D34" s="5" t="s">
        <v>182</v>
      </c>
      <c r="E34" s="5" t="s">
        <v>183</v>
      </c>
      <c r="F34" s="5" t="s">
        <v>184</v>
      </c>
      <c r="G34" s="5" t="s">
        <v>17</v>
      </c>
      <c r="H34" s="5" t="s">
        <v>185</v>
      </c>
      <c r="I34" s="8" t="s">
        <v>28</v>
      </c>
      <c r="J34" s="5" t="s">
        <v>20</v>
      </c>
      <c r="K34" s="5" t="s">
        <v>21</v>
      </c>
      <c r="L34" s="5"/>
      <c r="M34" s="5" t="s">
        <v>36</v>
      </c>
    </row>
    <row r="35" customFormat="false" ht="15" hidden="false" customHeight="true" outlineLevel="0" collapsed="false">
      <c r="A35" s="4" t="s">
        <v>13</v>
      </c>
      <c r="B35" s="5" t="n">
        <v>222</v>
      </c>
      <c r="C35" s="6" t="s">
        <v>186</v>
      </c>
      <c r="D35" s="5" t="s">
        <v>187</v>
      </c>
      <c r="E35" s="5" t="s">
        <v>188</v>
      </c>
      <c r="F35" s="5" t="s">
        <v>189</v>
      </c>
      <c r="G35" s="5" t="s">
        <v>17</v>
      </c>
      <c r="H35" s="5" t="s">
        <v>190</v>
      </c>
      <c r="I35" s="7" t="s">
        <v>19</v>
      </c>
      <c r="J35" s="5" t="s">
        <v>20</v>
      </c>
      <c r="K35" s="5" t="s">
        <v>21</v>
      </c>
      <c r="L35" s="5" t="s">
        <v>22</v>
      </c>
      <c r="M35" s="5" t="s">
        <v>42</v>
      </c>
    </row>
    <row r="36" customFormat="false" ht="15" hidden="false" customHeight="true" outlineLevel="0" collapsed="false">
      <c r="A36" s="4" t="s">
        <v>13</v>
      </c>
      <c r="B36" s="5" t="n">
        <v>235</v>
      </c>
      <c r="C36" s="6" t="s">
        <v>191</v>
      </c>
      <c r="D36" s="5" t="s">
        <v>192</v>
      </c>
      <c r="E36" s="5" t="s">
        <v>193</v>
      </c>
      <c r="F36" s="5" t="s">
        <v>194</v>
      </c>
      <c r="G36" s="5" t="s">
        <v>195</v>
      </c>
      <c r="H36" s="5" t="s">
        <v>196</v>
      </c>
      <c r="I36" s="10" t="s">
        <v>56</v>
      </c>
      <c r="J36" s="5" t="s">
        <v>197</v>
      </c>
      <c r="K36" s="5" t="s">
        <v>21</v>
      </c>
      <c r="L36" s="5"/>
      <c r="M36" s="5" t="s">
        <v>36</v>
      </c>
    </row>
    <row r="37" customFormat="false" ht="15" hidden="false" customHeight="true" outlineLevel="0" collapsed="false">
      <c r="A37" s="4" t="s">
        <v>13</v>
      </c>
      <c r="B37" s="5" t="n">
        <v>244</v>
      </c>
      <c r="C37" s="6" t="s">
        <v>198</v>
      </c>
      <c r="D37" s="5" t="s">
        <v>199</v>
      </c>
      <c r="E37" s="5" t="s">
        <v>200</v>
      </c>
      <c r="F37" s="5" t="s">
        <v>201</v>
      </c>
      <c r="G37" s="5" t="s">
        <v>17</v>
      </c>
      <c r="H37" s="5" t="s">
        <v>202</v>
      </c>
      <c r="I37" s="8" t="s">
        <v>28</v>
      </c>
      <c r="J37" s="5" t="s">
        <v>20</v>
      </c>
      <c r="K37" s="5"/>
      <c r="L37" s="5"/>
      <c r="M37" s="5"/>
    </row>
    <row r="38" customFormat="false" ht="15" hidden="false" customHeight="true" outlineLevel="0" collapsed="false">
      <c r="A38" s="4" t="s">
        <v>13</v>
      </c>
      <c r="B38" s="5" t="n">
        <v>248</v>
      </c>
      <c r="C38" s="6" t="s">
        <v>203</v>
      </c>
      <c r="D38" s="5" t="s">
        <v>204</v>
      </c>
      <c r="E38" s="5" t="s">
        <v>144</v>
      </c>
      <c r="F38" s="5" t="s">
        <v>205</v>
      </c>
      <c r="G38" s="5" t="s">
        <v>17</v>
      </c>
      <c r="H38" s="5" t="s">
        <v>206</v>
      </c>
      <c r="I38" s="8" t="s">
        <v>28</v>
      </c>
      <c r="J38" s="5" t="s">
        <v>20</v>
      </c>
      <c r="K38" s="5" t="s">
        <v>21</v>
      </c>
      <c r="L38" s="5"/>
      <c r="M38" s="5" t="s">
        <v>42</v>
      </c>
    </row>
    <row r="39" customFormat="false" ht="15" hidden="false" customHeight="true" outlineLevel="0" collapsed="false">
      <c r="A39" s="4" t="s">
        <v>13</v>
      </c>
      <c r="B39" s="5" t="n">
        <v>249</v>
      </c>
      <c r="C39" s="6" t="s">
        <v>207</v>
      </c>
      <c r="D39" s="5" t="s">
        <v>208</v>
      </c>
      <c r="E39" s="5" t="s">
        <v>209</v>
      </c>
      <c r="F39" s="5" t="s">
        <v>133</v>
      </c>
      <c r="G39" s="5" t="s">
        <v>17</v>
      </c>
      <c r="H39" s="5" t="s">
        <v>210</v>
      </c>
      <c r="I39" s="8" t="s">
        <v>28</v>
      </c>
      <c r="J39" s="5" t="s">
        <v>20</v>
      </c>
      <c r="K39" s="5" t="s">
        <v>21</v>
      </c>
      <c r="L39" s="5" t="s">
        <v>22</v>
      </c>
      <c r="M39" s="5" t="s">
        <v>42</v>
      </c>
    </row>
    <row r="40" customFormat="false" ht="15" hidden="false" customHeight="true" outlineLevel="0" collapsed="false">
      <c r="A40" s="4" t="s">
        <v>13</v>
      </c>
      <c r="B40" s="5" t="n">
        <v>253</v>
      </c>
      <c r="C40" s="6" t="s">
        <v>211</v>
      </c>
      <c r="D40" s="5" t="s">
        <v>212</v>
      </c>
      <c r="E40" s="5" t="s">
        <v>213</v>
      </c>
      <c r="F40" s="5" t="s">
        <v>214</v>
      </c>
      <c r="G40" s="5" t="s">
        <v>17</v>
      </c>
      <c r="H40" s="5" t="s">
        <v>156</v>
      </c>
      <c r="I40" s="9" t="s">
        <v>35</v>
      </c>
      <c r="J40" s="5" t="s">
        <v>20</v>
      </c>
      <c r="K40" s="5" t="s">
        <v>21</v>
      </c>
      <c r="L40" s="5" t="s">
        <v>22</v>
      </c>
      <c r="M40" s="5" t="s">
        <v>215</v>
      </c>
    </row>
    <row r="41" customFormat="false" ht="23.25" hidden="false" customHeight="true" outlineLevel="0" collapsed="false">
      <c r="A41" s="4" t="s">
        <v>13</v>
      </c>
      <c r="B41" s="5" t="n">
        <v>255</v>
      </c>
      <c r="C41" s="6" t="s">
        <v>216</v>
      </c>
      <c r="D41" s="5" t="s">
        <v>217</v>
      </c>
      <c r="E41" s="5" t="s">
        <v>218</v>
      </c>
      <c r="F41" s="5" t="s">
        <v>219</v>
      </c>
      <c r="G41" s="5" t="s">
        <v>195</v>
      </c>
      <c r="H41" s="5" t="s">
        <v>220</v>
      </c>
      <c r="I41" s="9" t="s">
        <v>35</v>
      </c>
      <c r="J41" s="5" t="s">
        <v>20</v>
      </c>
      <c r="K41" s="5" t="s">
        <v>21</v>
      </c>
      <c r="L41" s="5" t="s">
        <v>22</v>
      </c>
      <c r="M41" s="5" t="s">
        <v>36</v>
      </c>
    </row>
    <row r="42" customFormat="false" ht="15" hidden="false" customHeight="true" outlineLevel="0" collapsed="false">
      <c r="A42" s="4" t="s">
        <v>13</v>
      </c>
      <c r="B42" s="5" t="n">
        <v>269</v>
      </c>
      <c r="C42" s="6" t="s">
        <v>221</v>
      </c>
      <c r="D42" s="5" t="s">
        <v>222</v>
      </c>
      <c r="E42" s="5" t="s">
        <v>223</v>
      </c>
      <c r="F42" s="5" t="s">
        <v>155</v>
      </c>
      <c r="G42" s="5" t="s">
        <v>17</v>
      </c>
      <c r="H42" s="5" t="s">
        <v>224</v>
      </c>
      <c r="I42" s="10" t="s">
        <v>56</v>
      </c>
      <c r="J42" s="5" t="s">
        <v>20</v>
      </c>
      <c r="K42" s="5"/>
      <c r="L42" s="5"/>
      <c r="M42" s="5"/>
    </row>
    <row r="43" customFormat="false" ht="15" hidden="false" customHeight="true" outlineLevel="0" collapsed="false">
      <c r="A43" s="4" t="s">
        <v>13</v>
      </c>
      <c r="B43" s="5" t="n">
        <v>272</v>
      </c>
      <c r="C43" s="6" t="s">
        <v>225</v>
      </c>
      <c r="D43" s="5" t="s">
        <v>226</v>
      </c>
      <c r="E43" s="5" t="s">
        <v>227</v>
      </c>
      <c r="F43" s="5" t="s">
        <v>228</v>
      </c>
      <c r="G43" s="5" t="s">
        <v>103</v>
      </c>
      <c r="H43" s="5" t="s">
        <v>229</v>
      </c>
      <c r="I43" s="7" t="s">
        <v>19</v>
      </c>
      <c r="J43" s="5" t="s">
        <v>147</v>
      </c>
      <c r="K43" s="5" t="s">
        <v>21</v>
      </c>
      <c r="L43" s="5" t="s">
        <v>22</v>
      </c>
      <c r="M43" s="5" t="s">
        <v>42</v>
      </c>
    </row>
    <row r="44" customFormat="false" ht="15" hidden="false" customHeight="true" outlineLevel="0" collapsed="false">
      <c r="A44" s="4" t="s">
        <v>13</v>
      </c>
      <c r="B44" s="5" t="n">
        <v>276</v>
      </c>
      <c r="C44" s="6" t="s">
        <v>230</v>
      </c>
      <c r="D44" s="5" t="s">
        <v>231</v>
      </c>
      <c r="E44" s="5" t="s">
        <v>232</v>
      </c>
      <c r="F44" s="5" t="s">
        <v>26</v>
      </c>
      <c r="G44" s="5" t="s">
        <v>17</v>
      </c>
      <c r="H44" s="5" t="s">
        <v>233</v>
      </c>
      <c r="I44" s="7" t="s">
        <v>19</v>
      </c>
      <c r="J44" s="5" t="s">
        <v>20</v>
      </c>
      <c r="K44" s="5" t="s">
        <v>21</v>
      </c>
      <c r="L44" s="5"/>
      <c r="M44" s="5" t="s">
        <v>42</v>
      </c>
    </row>
    <row r="45" customFormat="false" ht="15" hidden="false" customHeight="true" outlineLevel="0" collapsed="false">
      <c r="A45" s="4" t="s">
        <v>13</v>
      </c>
      <c r="B45" s="5" t="n">
        <v>286</v>
      </c>
      <c r="C45" s="6" t="s">
        <v>234</v>
      </c>
      <c r="D45" s="5" t="s">
        <v>235</v>
      </c>
      <c r="E45" s="5" t="s">
        <v>236</v>
      </c>
      <c r="F45" s="5" t="s">
        <v>237</v>
      </c>
      <c r="G45" s="5" t="s">
        <v>17</v>
      </c>
      <c r="H45" s="5" t="s">
        <v>238</v>
      </c>
      <c r="I45" s="8" t="s">
        <v>28</v>
      </c>
      <c r="J45" s="5" t="s">
        <v>20</v>
      </c>
      <c r="K45" s="5" t="s">
        <v>21</v>
      </c>
      <c r="L45" s="5" t="s">
        <v>22</v>
      </c>
      <c r="M45" s="5" t="s">
        <v>42</v>
      </c>
    </row>
    <row r="46" customFormat="false" ht="15" hidden="false" customHeight="true" outlineLevel="0" collapsed="false">
      <c r="A46" s="4" t="s">
        <v>13</v>
      </c>
      <c r="B46" s="5" t="n">
        <v>306</v>
      </c>
      <c r="C46" s="6" t="s">
        <v>239</v>
      </c>
      <c r="D46" s="5" t="s">
        <v>240</v>
      </c>
      <c r="E46" s="5" t="s">
        <v>45</v>
      </c>
      <c r="F46" s="5" t="s">
        <v>32</v>
      </c>
      <c r="G46" s="5" t="s">
        <v>17</v>
      </c>
      <c r="H46" s="5" t="s">
        <v>241</v>
      </c>
      <c r="I46" s="10" t="s">
        <v>56</v>
      </c>
      <c r="J46" s="5" t="s">
        <v>20</v>
      </c>
      <c r="K46" s="5"/>
      <c r="L46" s="5"/>
      <c r="M46" s="5"/>
    </row>
    <row r="47" customFormat="false" ht="15" hidden="false" customHeight="true" outlineLevel="0" collapsed="false">
      <c r="A47" s="4" t="s">
        <v>13</v>
      </c>
      <c r="B47" s="5" t="n">
        <v>310</v>
      </c>
      <c r="C47" s="6" t="s">
        <v>242</v>
      </c>
      <c r="D47" s="5" t="s">
        <v>243</v>
      </c>
      <c r="E47" s="5" t="s">
        <v>227</v>
      </c>
      <c r="F47" s="5" t="s">
        <v>133</v>
      </c>
      <c r="G47" s="5" t="s">
        <v>17</v>
      </c>
      <c r="H47" s="5" t="s">
        <v>229</v>
      </c>
      <c r="I47" s="7" t="s">
        <v>19</v>
      </c>
      <c r="J47" s="5" t="s">
        <v>20</v>
      </c>
      <c r="K47" s="5"/>
      <c r="L47" s="5"/>
      <c r="M47" s="5"/>
    </row>
    <row r="48" customFormat="false" ht="15" hidden="false" customHeight="true" outlineLevel="0" collapsed="false">
      <c r="A48" s="4" t="s">
        <v>13</v>
      </c>
      <c r="B48" s="5" t="n">
        <v>320</v>
      </c>
      <c r="C48" s="6" t="s">
        <v>244</v>
      </c>
      <c r="D48" s="5" t="s">
        <v>245</v>
      </c>
      <c r="E48" s="5" t="s">
        <v>246</v>
      </c>
      <c r="F48" s="5" t="s">
        <v>247</v>
      </c>
      <c r="G48" s="5" t="s">
        <v>17</v>
      </c>
      <c r="H48" s="5" t="s">
        <v>248</v>
      </c>
      <c r="I48" s="8" t="s">
        <v>28</v>
      </c>
      <c r="J48" s="5" t="s">
        <v>20</v>
      </c>
      <c r="K48" s="5" t="s">
        <v>21</v>
      </c>
      <c r="L48" s="5" t="s">
        <v>22</v>
      </c>
      <c r="M48" s="5" t="s">
        <v>42</v>
      </c>
    </row>
    <row r="49" customFormat="false" ht="15" hidden="false" customHeight="true" outlineLevel="0" collapsed="false">
      <c r="A49" s="4" t="s">
        <v>13</v>
      </c>
      <c r="B49" s="5" t="n">
        <v>332</v>
      </c>
      <c r="C49" s="6" t="s">
        <v>249</v>
      </c>
      <c r="D49" s="5" t="s">
        <v>250</v>
      </c>
      <c r="E49" s="5" t="s">
        <v>39</v>
      </c>
      <c r="F49" s="5" t="s">
        <v>251</v>
      </c>
      <c r="G49" s="5" t="s">
        <v>17</v>
      </c>
      <c r="H49" s="5" t="s">
        <v>252</v>
      </c>
      <c r="I49" s="7" t="s">
        <v>19</v>
      </c>
      <c r="J49" s="5" t="s">
        <v>20</v>
      </c>
      <c r="K49" s="5" t="s">
        <v>21</v>
      </c>
      <c r="L49" s="5"/>
      <c r="M49" s="5" t="s">
        <v>42</v>
      </c>
    </row>
    <row r="50" customFormat="false" ht="15" hidden="false" customHeight="true" outlineLevel="0" collapsed="false">
      <c r="A50" s="4" t="s">
        <v>13</v>
      </c>
      <c r="B50" s="5" t="n">
        <v>337</v>
      </c>
      <c r="C50" s="6" t="s">
        <v>253</v>
      </c>
      <c r="D50" s="5" t="s">
        <v>254</v>
      </c>
      <c r="E50" s="5" t="s">
        <v>255</v>
      </c>
      <c r="F50" s="5" t="s">
        <v>113</v>
      </c>
      <c r="G50" s="5" t="s">
        <v>17</v>
      </c>
      <c r="H50" s="5" t="s">
        <v>114</v>
      </c>
      <c r="I50" s="7" t="s">
        <v>19</v>
      </c>
      <c r="J50" s="5" t="s">
        <v>20</v>
      </c>
      <c r="K50" s="5" t="s">
        <v>21</v>
      </c>
      <c r="L50" s="5"/>
      <c r="M50" s="5" t="s">
        <v>22</v>
      </c>
    </row>
    <row r="51" customFormat="false" ht="23.25" hidden="false" customHeight="true" outlineLevel="0" collapsed="false">
      <c r="A51" s="4" t="s">
        <v>13</v>
      </c>
      <c r="B51" s="5" t="n">
        <v>346</v>
      </c>
      <c r="C51" s="6" t="s">
        <v>256</v>
      </c>
      <c r="D51" s="5" t="s">
        <v>257</v>
      </c>
      <c r="E51" s="5" t="s">
        <v>218</v>
      </c>
      <c r="F51" s="5" t="s">
        <v>219</v>
      </c>
      <c r="G51" s="5" t="s">
        <v>195</v>
      </c>
      <c r="H51" s="5" t="s">
        <v>220</v>
      </c>
      <c r="I51" s="8" t="s">
        <v>28</v>
      </c>
      <c r="J51" s="5" t="s">
        <v>20</v>
      </c>
      <c r="K51" s="5" t="s">
        <v>21</v>
      </c>
      <c r="L51" s="5" t="s">
        <v>22</v>
      </c>
      <c r="M51" s="5" t="s">
        <v>36</v>
      </c>
    </row>
    <row r="52" customFormat="false" ht="15" hidden="false" customHeight="true" outlineLevel="0" collapsed="false">
      <c r="A52" s="11" t="s">
        <v>258</v>
      </c>
      <c r="B52" s="5" t="n">
        <v>3</v>
      </c>
      <c r="C52" s="6" t="s">
        <v>259</v>
      </c>
      <c r="D52" s="5" t="s">
        <v>260</v>
      </c>
      <c r="E52" s="5" t="s">
        <v>91</v>
      </c>
      <c r="F52" s="5" t="s">
        <v>261</v>
      </c>
      <c r="G52" s="5" t="s">
        <v>103</v>
      </c>
      <c r="H52" s="5" t="s">
        <v>262</v>
      </c>
      <c r="I52" s="7" t="s">
        <v>19</v>
      </c>
      <c r="J52" s="5" t="s">
        <v>263</v>
      </c>
      <c r="K52" s="5" t="s">
        <v>21</v>
      </c>
      <c r="L52" s="5" t="s">
        <v>22</v>
      </c>
      <c r="M52" s="5" t="s">
        <v>264</v>
      </c>
    </row>
    <row r="53" customFormat="false" ht="15" hidden="false" customHeight="true" outlineLevel="0" collapsed="false">
      <c r="A53" s="11" t="s">
        <v>258</v>
      </c>
      <c r="B53" s="5" t="n">
        <v>4</v>
      </c>
      <c r="C53" s="6" t="s">
        <v>265</v>
      </c>
      <c r="D53" s="5" t="s">
        <v>266</v>
      </c>
      <c r="E53" s="5" t="s">
        <v>267</v>
      </c>
      <c r="F53" s="5" t="s">
        <v>151</v>
      </c>
      <c r="G53" s="5" t="s">
        <v>17</v>
      </c>
      <c r="H53" s="5" t="s">
        <v>18</v>
      </c>
      <c r="I53" s="9" t="s">
        <v>35</v>
      </c>
      <c r="J53" s="5" t="s">
        <v>268</v>
      </c>
      <c r="K53" s="5" t="s">
        <v>21</v>
      </c>
      <c r="L53" s="5"/>
      <c r="M53" s="5" t="s">
        <v>42</v>
      </c>
    </row>
    <row r="54" customFormat="false" ht="15" hidden="false" customHeight="true" outlineLevel="0" collapsed="false">
      <c r="A54" s="11" t="s">
        <v>258</v>
      </c>
      <c r="B54" s="5" t="n">
        <v>10</v>
      </c>
      <c r="C54" s="6" t="s">
        <v>269</v>
      </c>
      <c r="D54" s="5" t="s">
        <v>270</v>
      </c>
      <c r="E54" s="5" t="s">
        <v>174</v>
      </c>
      <c r="F54" s="5" t="s">
        <v>271</v>
      </c>
      <c r="G54" s="5" t="s">
        <v>139</v>
      </c>
      <c r="H54" s="5" t="s">
        <v>272</v>
      </c>
      <c r="I54" s="10" t="s">
        <v>56</v>
      </c>
      <c r="J54" s="5" t="s">
        <v>268</v>
      </c>
      <c r="K54" s="5"/>
      <c r="L54" s="5"/>
      <c r="M54" s="5"/>
    </row>
    <row r="55" customFormat="false" ht="15" hidden="false" customHeight="true" outlineLevel="0" collapsed="false">
      <c r="A55" s="11" t="s">
        <v>258</v>
      </c>
      <c r="B55" s="5" t="n">
        <v>11</v>
      </c>
      <c r="C55" s="6" t="s">
        <v>273</v>
      </c>
      <c r="D55" s="5" t="s">
        <v>274</v>
      </c>
      <c r="E55" s="5" t="s">
        <v>275</v>
      </c>
      <c r="F55" s="5" t="s">
        <v>276</v>
      </c>
      <c r="G55" s="5" t="s">
        <v>17</v>
      </c>
      <c r="H55" s="5" t="s">
        <v>104</v>
      </c>
      <c r="I55" s="8" t="s">
        <v>28</v>
      </c>
      <c r="J55" s="5" t="s">
        <v>268</v>
      </c>
      <c r="K55" s="5"/>
      <c r="L55" s="5"/>
      <c r="M55" s="5"/>
    </row>
    <row r="56" customFormat="false" ht="15" hidden="false" customHeight="true" outlineLevel="0" collapsed="false">
      <c r="A56" s="11" t="s">
        <v>258</v>
      </c>
      <c r="B56" s="5" t="n">
        <v>14</v>
      </c>
      <c r="C56" s="6" t="s">
        <v>277</v>
      </c>
      <c r="D56" s="5" t="s">
        <v>278</v>
      </c>
      <c r="E56" s="5" t="s">
        <v>275</v>
      </c>
      <c r="F56" s="5" t="s">
        <v>279</v>
      </c>
      <c r="G56" s="5" t="s">
        <v>17</v>
      </c>
      <c r="H56" s="5" t="s">
        <v>280</v>
      </c>
      <c r="I56" s="10" t="s">
        <v>56</v>
      </c>
      <c r="J56" s="5" t="s">
        <v>268</v>
      </c>
      <c r="K56" s="5"/>
      <c r="L56" s="5"/>
      <c r="M56" s="5"/>
    </row>
    <row r="57" customFormat="false" ht="15" hidden="false" customHeight="true" outlineLevel="0" collapsed="false">
      <c r="A57" s="11" t="s">
        <v>258</v>
      </c>
      <c r="B57" s="5" t="n">
        <v>16</v>
      </c>
      <c r="C57" s="6" t="s">
        <v>281</v>
      </c>
      <c r="D57" s="5" t="s">
        <v>282</v>
      </c>
      <c r="E57" s="5" t="s">
        <v>283</v>
      </c>
      <c r="F57" s="5" t="s">
        <v>284</v>
      </c>
      <c r="G57" s="5" t="s">
        <v>97</v>
      </c>
      <c r="H57" s="5" t="s">
        <v>146</v>
      </c>
      <c r="I57" s="8" t="s">
        <v>28</v>
      </c>
      <c r="J57" s="5" t="s">
        <v>268</v>
      </c>
      <c r="K57" s="5"/>
      <c r="L57" s="5"/>
      <c r="M57" s="5"/>
    </row>
    <row r="58" customFormat="false" ht="15" hidden="false" customHeight="true" outlineLevel="0" collapsed="false">
      <c r="A58" s="11" t="s">
        <v>258</v>
      </c>
      <c r="B58" s="5" t="n">
        <v>17</v>
      </c>
      <c r="C58" s="6" t="s">
        <v>285</v>
      </c>
      <c r="D58" s="5" t="s">
        <v>286</v>
      </c>
      <c r="E58" s="5" t="s">
        <v>91</v>
      </c>
      <c r="F58" s="5" t="s">
        <v>287</v>
      </c>
      <c r="G58" s="5" t="s">
        <v>17</v>
      </c>
      <c r="H58" s="5" t="s">
        <v>252</v>
      </c>
      <c r="I58" s="9" t="s">
        <v>35</v>
      </c>
      <c r="J58" s="5" t="s">
        <v>268</v>
      </c>
      <c r="K58" s="5" t="s">
        <v>21</v>
      </c>
      <c r="L58" s="5"/>
      <c r="M58" s="5" t="s">
        <v>215</v>
      </c>
    </row>
    <row r="59" customFormat="false" ht="15" hidden="false" customHeight="true" outlineLevel="0" collapsed="false">
      <c r="A59" s="11" t="s">
        <v>258</v>
      </c>
      <c r="B59" s="5" t="n">
        <v>18</v>
      </c>
      <c r="C59" s="6" t="s">
        <v>288</v>
      </c>
      <c r="D59" s="5" t="s">
        <v>289</v>
      </c>
      <c r="E59" s="5" t="s">
        <v>290</v>
      </c>
      <c r="F59" s="5" t="s">
        <v>291</v>
      </c>
      <c r="G59" s="5" t="s">
        <v>17</v>
      </c>
      <c r="H59" s="5" t="s">
        <v>190</v>
      </c>
      <c r="I59" s="8" t="s">
        <v>28</v>
      </c>
      <c r="J59" s="5" t="s">
        <v>268</v>
      </c>
      <c r="K59" s="5"/>
      <c r="L59" s="5"/>
      <c r="M59" s="5"/>
    </row>
    <row r="60" customFormat="false" ht="15" hidden="false" customHeight="true" outlineLevel="0" collapsed="false">
      <c r="A60" s="11" t="s">
        <v>258</v>
      </c>
      <c r="B60" s="5" t="n">
        <v>21</v>
      </c>
      <c r="C60" s="6" t="s">
        <v>292</v>
      </c>
      <c r="D60" s="5" t="s">
        <v>293</v>
      </c>
      <c r="E60" s="5" t="s">
        <v>294</v>
      </c>
      <c r="F60" s="5" t="s">
        <v>295</v>
      </c>
      <c r="G60" s="5" t="s">
        <v>139</v>
      </c>
      <c r="H60" s="5" t="s">
        <v>139</v>
      </c>
      <c r="I60" s="7" t="s">
        <v>19</v>
      </c>
      <c r="J60" s="5" t="s">
        <v>268</v>
      </c>
      <c r="K60" s="5"/>
      <c r="L60" s="5"/>
      <c r="M60" s="5"/>
    </row>
    <row r="61" customFormat="false" ht="15" hidden="false" customHeight="true" outlineLevel="0" collapsed="false">
      <c r="A61" s="11" t="s">
        <v>258</v>
      </c>
      <c r="B61" s="5" t="n">
        <v>23</v>
      </c>
      <c r="C61" s="6" t="s">
        <v>296</v>
      </c>
      <c r="D61" s="5" t="s">
        <v>297</v>
      </c>
      <c r="E61" s="5" t="s">
        <v>298</v>
      </c>
      <c r="F61" s="5" t="s">
        <v>284</v>
      </c>
      <c r="G61" s="5" t="s">
        <v>299</v>
      </c>
      <c r="H61" s="5" t="s">
        <v>300</v>
      </c>
      <c r="I61" s="7" t="s">
        <v>19</v>
      </c>
      <c r="J61" s="5" t="s">
        <v>141</v>
      </c>
      <c r="K61" s="5" t="s">
        <v>21</v>
      </c>
      <c r="L61" s="5"/>
      <c r="M61" s="5" t="s">
        <v>36</v>
      </c>
    </row>
    <row r="62" customFormat="false" ht="15" hidden="false" customHeight="true" outlineLevel="0" collapsed="false">
      <c r="A62" s="11" t="s">
        <v>258</v>
      </c>
      <c r="B62" s="5" t="n">
        <v>26</v>
      </c>
      <c r="C62" s="6" t="s">
        <v>301</v>
      </c>
      <c r="D62" s="5" t="s">
        <v>302</v>
      </c>
      <c r="E62" s="5" t="s">
        <v>303</v>
      </c>
      <c r="F62" s="5" t="s">
        <v>304</v>
      </c>
      <c r="G62" s="5" t="s">
        <v>17</v>
      </c>
      <c r="H62" s="5" t="s">
        <v>305</v>
      </c>
      <c r="I62" s="8" t="s">
        <v>28</v>
      </c>
      <c r="J62" s="5" t="s">
        <v>268</v>
      </c>
      <c r="K62" s="5"/>
      <c r="L62" s="5"/>
      <c r="M62" s="5"/>
    </row>
    <row r="63" customFormat="false" ht="15" hidden="false" customHeight="true" outlineLevel="0" collapsed="false">
      <c r="A63" s="11" t="s">
        <v>258</v>
      </c>
      <c r="B63" s="5" t="n">
        <v>52</v>
      </c>
      <c r="C63" s="6" t="s">
        <v>306</v>
      </c>
      <c r="D63" s="5"/>
      <c r="E63" s="5" t="s">
        <v>91</v>
      </c>
      <c r="F63" s="5" t="s">
        <v>307</v>
      </c>
      <c r="G63" s="5" t="s">
        <v>17</v>
      </c>
      <c r="H63" s="5" t="s">
        <v>93</v>
      </c>
      <c r="I63" s="9" t="s">
        <v>35</v>
      </c>
      <c r="J63" s="5" t="s">
        <v>268</v>
      </c>
      <c r="K63" s="5" t="s">
        <v>21</v>
      </c>
      <c r="L63" s="5"/>
      <c r="M63" s="5" t="s">
        <v>42</v>
      </c>
    </row>
    <row r="64" customFormat="false" ht="15" hidden="false" customHeight="true" outlineLevel="0" collapsed="false">
      <c r="A64" s="11" t="s">
        <v>258</v>
      </c>
      <c r="B64" s="5" t="n">
        <v>53</v>
      </c>
      <c r="C64" s="6" t="s">
        <v>308</v>
      </c>
      <c r="D64" s="5" t="s">
        <v>309</v>
      </c>
      <c r="E64" s="5" t="s">
        <v>310</v>
      </c>
      <c r="F64" s="5" t="s">
        <v>311</v>
      </c>
      <c r="G64" s="5" t="s">
        <v>17</v>
      </c>
      <c r="H64" s="5" t="s">
        <v>312</v>
      </c>
      <c r="I64" s="9" t="s">
        <v>35</v>
      </c>
      <c r="J64" s="5" t="s">
        <v>268</v>
      </c>
      <c r="K64" s="5"/>
      <c r="L64" s="5"/>
      <c r="M64" s="5"/>
    </row>
    <row r="65" customFormat="false" ht="15" hidden="false" customHeight="true" outlineLevel="0" collapsed="false">
      <c r="A65" s="11" t="s">
        <v>258</v>
      </c>
      <c r="B65" s="5" t="n">
        <v>54</v>
      </c>
      <c r="C65" s="6" t="s">
        <v>313</v>
      </c>
      <c r="D65" s="5" t="s">
        <v>314</v>
      </c>
      <c r="E65" s="5" t="s">
        <v>315</v>
      </c>
      <c r="F65" s="5" t="s">
        <v>16</v>
      </c>
      <c r="G65" s="5" t="s">
        <v>97</v>
      </c>
      <c r="H65" s="5" t="s">
        <v>146</v>
      </c>
      <c r="I65" s="9" t="s">
        <v>35</v>
      </c>
      <c r="J65" s="5" t="s">
        <v>268</v>
      </c>
      <c r="K65" s="5"/>
      <c r="L65" s="5"/>
      <c r="M65" s="5"/>
    </row>
    <row r="66" customFormat="false" ht="15" hidden="false" customHeight="true" outlineLevel="0" collapsed="false">
      <c r="A66" s="11" t="s">
        <v>258</v>
      </c>
      <c r="B66" s="5" t="n">
        <v>56</v>
      </c>
      <c r="C66" s="6" t="s">
        <v>316</v>
      </c>
      <c r="D66" s="5" t="s">
        <v>317</v>
      </c>
      <c r="E66" s="5" t="s">
        <v>69</v>
      </c>
      <c r="F66" s="5" t="s">
        <v>318</v>
      </c>
      <c r="G66" s="5" t="s">
        <v>17</v>
      </c>
      <c r="H66" s="5" t="s">
        <v>319</v>
      </c>
      <c r="I66" s="9" t="s">
        <v>35</v>
      </c>
      <c r="J66" s="5" t="s">
        <v>268</v>
      </c>
      <c r="K66" s="5" t="s">
        <v>21</v>
      </c>
      <c r="L66" s="5"/>
      <c r="M66" s="5" t="s">
        <v>42</v>
      </c>
    </row>
    <row r="67" customFormat="false" ht="23.25" hidden="false" customHeight="true" outlineLevel="0" collapsed="false">
      <c r="A67" s="11" t="s">
        <v>258</v>
      </c>
      <c r="B67" s="5" t="n">
        <v>58</v>
      </c>
      <c r="C67" s="6" t="s">
        <v>320</v>
      </c>
      <c r="D67" s="5" t="s">
        <v>321</v>
      </c>
      <c r="E67" s="5" t="s">
        <v>322</v>
      </c>
      <c r="F67" s="5" t="s">
        <v>323</v>
      </c>
      <c r="G67" s="5" t="s">
        <v>103</v>
      </c>
      <c r="H67" s="5" t="s">
        <v>324</v>
      </c>
      <c r="I67" s="9" t="s">
        <v>35</v>
      </c>
      <c r="J67" s="5" t="s">
        <v>268</v>
      </c>
      <c r="K67" s="5" t="s">
        <v>21</v>
      </c>
      <c r="L67" s="5"/>
      <c r="M67" s="5" t="s">
        <v>42</v>
      </c>
    </row>
    <row r="68" customFormat="false" ht="15" hidden="false" customHeight="true" outlineLevel="0" collapsed="false">
      <c r="A68" s="11" t="s">
        <v>258</v>
      </c>
      <c r="B68" s="5" t="n">
        <v>65</v>
      </c>
      <c r="C68" s="6" t="s">
        <v>325</v>
      </c>
      <c r="D68" s="5"/>
      <c r="E68" s="5" t="s">
        <v>159</v>
      </c>
      <c r="F68" s="5" t="s">
        <v>326</v>
      </c>
      <c r="G68" s="5" t="s">
        <v>17</v>
      </c>
      <c r="H68" s="5" t="s">
        <v>280</v>
      </c>
      <c r="I68" s="8" t="s">
        <v>28</v>
      </c>
      <c r="J68" s="5" t="s">
        <v>268</v>
      </c>
      <c r="K68" s="5" t="s">
        <v>21</v>
      </c>
      <c r="L68" s="5"/>
      <c r="M68" s="5" t="s">
        <v>36</v>
      </c>
    </row>
    <row r="69" customFormat="false" ht="15" hidden="false" customHeight="true" outlineLevel="0" collapsed="false">
      <c r="A69" s="11" t="s">
        <v>258</v>
      </c>
      <c r="B69" s="5" t="n">
        <v>68</v>
      </c>
      <c r="C69" s="6" t="s">
        <v>327</v>
      </c>
      <c r="D69" s="5"/>
      <c r="E69" s="5" t="s">
        <v>328</v>
      </c>
      <c r="F69" s="5" t="s">
        <v>329</v>
      </c>
      <c r="G69" s="5" t="s">
        <v>103</v>
      </c>
      <c r="H69" s="5" t="s">
        <v>146</v>
      </c>
      <c r="I69" s="7" t="s">
        <v>19</v>
      </c>
      <c r="J69" s="5" t="s">
        <v>268</v>
      </c>
      <c r="K69" s="5"/>
      <c r="L69" s="5"/>
      <c r="M69" s="5"/>
    </row>
    <row r="70" customFormat="false" ht="15" hidden="false" customHeight="true" outlineLevel="0" collapsed="false">
      <c r="A70" s="11" t="s">
        <v>258</v>
      </c>
      <c r="B70" s="5" t="n">
        <v>81</v>
      </c>
      <c r="C70" s="6" t="s">
        <v>330</v>
      </c>
      <c r="D70" s="5" t="s">
        <v>331</v>
      </c>
      <c r="E70" s="5" t="s">
        <v>332</v>
      </c>
      <c r="F70" s="5" t="s">
        <v>108</v>
      </c>
      <c r="G70" s="5" t="s">
        <v>17</v>
      </c>
      <c r="H70" s="5" t="s">
        <v>333</v>
      </c>
      <c r="I70" s="10" t="s">
        <v>56</v>
      </c>
      <c r="J70" s="5" t="s">
        <v>268</v>
      </c>
      <c r="K70" s="5"/>
      <c r="L70" s="5" t="s">
        <v>22</v>
      </c>
      <c r="M70" s="5"/>
    </row>
    <row r="71" customFormat="false" ht="15" hidden="false" customHeight="true" outlineLevel="0" collapsed="false">
      <c r="A71" s="11" t="s">
        <v>258</v>
      </c>
      <c r="B71" s="5" t="n">
        <v>83</v>
      </c>
      <c r="C71" s="6" t="s">
        <v>334</v>
      </c>
      <c r="D71" s="5" t="s">
        <v>335</v>
      </c>
      <c r="E71" s="5" t="s">
        <v>188</v>
      </c>
      <c r="F71" s="5" t="s">
        <v>65</v>
      </c>
      <c r="G71" s="5" t="s">
        <v>17</v>
      </c>
      <c r="H71" s="5" t="s">
        <v>336</v>
      </c>
      <c r="I71" s="9" t="s">
        <v>35</v>
      </c>
      <c r="J71" s="5" t="s">
        <v>268</v>
      </c>
      <c r="K71" s="5"/>
      <c r="L71" s="5"/>
      <c r="M71" s="5"/>
    </row>
    <row r="72" customFormat="false" ht="15" hidden="false" customHeight="true" outlineLevel="0" collapsed="false">
      <c r="A72" s="11" t="s">
        <v>258</v>
      </c>
      <c r="B72" s="5" t="n">
        <v>124</v>
      </c>
      <c r="C72" s="6" t="s">
        <v>337</v>
      </c>
      <c r="D72" s="5" t="s">
        <v>338</v>
      </c>
      <c r="E72" s="5" t="s">
        <v>339</v>
      </c>
      <c r="F72" s="5" t="s">
        <v>304</v>
      </c>
      <c r="G72" s="5" t="s">
        <v>17</v>
      </c>
      <c r="H72" s="5" t="s">
        <v>340</v>
      </c>
      <c r="I72" s="8" t="s">
        <v>28</v>
      </c>
      <c r="J72" s="5" t="s">
        <v>268</v>
      </c>
      <c r="K72" s="5" t="s">
        <v>21</v>
      </c>
      <c r="L72" s="5"/>
      <c r="M72" s="5" t="s">
        <v>42</v>
      </c>
    </row>
    <row r="73" customFormat="false" ht="15" hidden="false" customHeight="true" outlineLevel="0" collapsed="false">
      <c r="A73" s="11" t="s">
        <v>258</v>
      </c>
      <c r="B73" s="5" t="n">
        <v>126</v>
      </c>
      <c r="C73" s="6" t="s">
        <v>341</v>
      </c>
      <c r="D73" s="5" t="s">
        <v>342</v>
      </c>
      <c r="E73" s="5" t="s">
        <v>343</v>
      </c>
      <c r="F73" s="5" t="s">
        <v>344</v>
      </c>
      <c r="G73" s="5" t="s">
        <v>17</v>
      </c>
      <c r="H73" s="5" t="s">
        <v>190</v>
      </c>
      <c r="I73" s="7" t="s">
        <v>19</v>
      </c>
      <c r="J73" s="5" t="s">
        <v>268</v>
      </c>
      <c r="K73" s="5" t="s">
        <v>21</v>
      </c>
      <c r="L73" s="5"/>
      <c r="M73" s="5" t="s">
        <v>22</v>
      </c>
    </row>
    <row r="74" customFormat="false" ht="15" hidden="false" customHeight="true" outlineLevel="0" collapsed="false">
      <c r="A74" s="11" t="s">
        <v>258</v>
      </c>
      <c r="B74" s="5" t="n">
        <v>136</v>
      </c>
      <c r="C74" s="6" t="s">
        <v>345</v>
      </c>
      <c r="D74" s="5"/>
      <c r="E74" s="5" t="s">
        <v>346</v>
      </c>
      <c r="F74" s="5" t="s">
        <v>347</v>
      </c>
      <c r="G74" s="5" t="s">
        <v>17</v>
      </c>
      <c r="H74" s="5" t="s">
        <v>348</v>
      </c>
      <c r="I74" s="8" t="s">
        <v>28</v>
      </c>
      <c r="J74" s="5" t="s">
        <v>268</v>
      </c>
      <c r="K74" s="5"/>
      <c r="L74" s="5"/>
      <c r="M74" s="5"/>
    </row>
    <row r="75" customFormat="false" ht="15" hidden="false" customHeight="true" outlineLevel="0" collapsed="false">
      <c r="A75" s="11" t="s">
        <v>258</v>
      </c>
      <c r="B75" s="5" t="n">
        <v>156</v>
      </c>
      <c r="C75" s="6" t="s">
        <v>349</v>
      </c>
      <c r="D75" s="5" t="s">
        <v>350</v>
      </c>
      <c r="E75" s="5" t="s">
        <v>351</v>
      </c>
      <c r="F75" s="5" t="s">
        <v>352</v>
      </c>
      <c r="G75" s="5" t="s">
        <v>17</v>
      </c>
      <c r="H75" s="5" t="s">
        <v>353</v>
      </c>
      <c r="I75" s="8" t="s">
        <v>28</v>
      </c>
      <c r="J75" s="5" t="s">
        <v>268</v>
      </c>
      <c r="K75" s="5"/>
      <c r="L75" s="5" t="s">
        <v>22</v>
      </c>
      <c r="M75" s="5"/>
    </row>
    <row r="76" customFormat="false" ht="15" hidden="false" customHeight="true" outlineLevel="0" collapsed="false">
      <c r="A76" s="11" t="s">
        <v>258</v>
      </c>
      <c r="B76" s="5" t="n">
        <v>160</v>
      </c>
      <c r="C76" s="6" t="s">
        <v>354</v>
      </c>
      <c r="D76" s="5" t="s">
        <v>355</v>
      </c>
      <c r="E76" s="5" t="s">
        <v>356</v>
      </c>
      <c r="F76" s="5" t="s">
        <v>357</v>
      </c>
      <c r="G76" s="5" t="s">
        <v>17</v>
      </c>
      <c r="H76" s="5" t="s">
        <v>358</v>
      </c>
      <c r="I76" s="8" t="s">
        <v>28</v>
      </c>
      <c r="J76" s="5" t="s">
        <v>268</v>
      </c>
      <c r="K76" s="5"/>
      <c r="L76" s="5"/>
      <c r="M76" s="5"/>
    </row>
    <row r="77" customFormat="false" ht="15" hidden="false" customHeight="true" outlineLevel="0" collapsed="false">
      <c r="A77" s="11" t="s">
        <v>258</v>
      </c>
      <c r="B77" s="5" t="n">
        <v>173</v>
      </c>
      <c r="C77" s="6" t="s">
        <v>359</v>
      </c>
      <c r="D77" s="5" t="s">
        <v>360</v>
      </c>
      <c r="E77" s="5" t="s">
        <v>361</v>
      </c>
      <c r="F77" s="5" t="s">
        <v>357</v>
      </c>
      <c r="G77" s="5" t="s">
        <v>139</v>
      </c>
      <c r="H77" s="5" t="s">
        <v>362</v>
      </c>
      <c r="I77" s="9" t="s">
        <v>35</v>
      </c>
      <c r="J77" s="5" t="s">
        <v>363</v>
      </c>
      <c r="K77" s="5"/>
      <c r="L77" s="5"/>
      <c r="M77" s="5"/>
    </row>
    <row r="78" customFormat="false" ht="15" hidden="false" customHeight="true" outlineLevel="0" collapsed="false">
      <c r="A78" s="11" t="s">
        <v>258</v>
      </c>
      <c r="B78" s="5" t="n">
        <v>180</v>
      </c>
      <c r="C78" s="6" t="s">
        <v>364</v>
      </c>
      <c r="D78" s="5" t="s">
        <v>365</v>
      </c>
      <c r="E78" s="5" t="s">
        <v>95</v>
      </c>
      <c r="F78" s="5" t="s">
        <v>366</v>
      </c>
      <c r="G78" s="5" t="s">
        <v>97</v>
      </c>
      <c r="H78" s="5" t="s">
        <v>367</v>
      </c>
      <c r="I78" s="8" t="s">
        <v>28</v>
      </c>
      <c r="J78" s="5" t="s">
        <v>268</v>
      </c>
      <c r="K78" s="5" t="s">
        <v>21</v>
      </c>
      <c r="L78" s="5"/>
      <c r="M78" s="5" t="s">
        <v>215</v>
      </c>
    </row>
    <row r="79" customFormat="false" ht="15" hidden="false" customHeight="true" outlineLevel="0" collapsed="false">
      <c r="A79" s="11" t="s">
        <v>258</v>
      </c>
      <c r="B79" s="5" t="n">
        <v>189</v>
      </c>
      <c r="C79" s="6" t="s">
        <v>368</v>
      </c>
      <c r="D79" s="5" t="s">
        <v>369</v>
      </c>
      <c r="E79" s="5" t="s">
        <v>159</v>
      </c>
      <c r="F79" s="5" t="s">
        <v>370</v>
      </c>
      <c r="G79" s="5" t="s">
        <v>17</v>
      </c>
      <c r="H79" s="5" t="s">
        <v>161</v>
      </c>
      <c r="I79" s="9" t="s">
        <v>35</v>
      </c>
      <c r="J79" s="5" t="s">
        <v>268</v>
      </c>
      <c r="K79" s="5" t="s">
        <v>21</v>
      </c>
      <c r="L79" s="5"/>
      <c r="M79" s="5" t="s">
        <v>42</v>
      </c>
    </row>
    <row r="80" customFormat="false" ht="15" hidden="false" customHeight="true" outlineLevel="0" collapsed="false">
      <c r="A80" s="11" t="s">
        <v>258</v>
      </c>
      <c r="B80" s="5" t="n">
        <v>192</v>
      </c>
      <c r="C80" s="6" t="s">
        <v>371</v>
      </c>
      <c r="D80" s="5"/>
      <c r="E80" s="5" t="s">
        <v>372</v>
      </c>
      <c r="F80" s="5" t="s">
        <v>373</v>
      </c>
      <c r="G80" s="5" t="s">
        <v>17</v>
      </c>
      <c r="H80" s="5" t="s">
        <v>374</v>
      </c>
      <c r="I80" s="10" t="s">
        <v>56</v>
      </c>
      <c r="J80" s="5" t="s">
        <v>268</v>
      </c>
      <c r="K80" s="5" t="s">
        <v>21</v>
      </c>
      <c r="L80" s="5" t="s">
        <v>22</v>
      </c>
      <c r="M80" s="5" t="s">
        <v>42</v>
      </c>
    </row>
    <row r="81" customFormat="false" ht="15" hidden="false" customHeight="true" outlineLevel="0" collapsed="false">
      <c r="A81" s="11" t="s">
        <v>258</v>
      </c>
      <c r="B81" s="5" t="n">
        <v>201</v>
      </c>
      <c r="C81" s="6" t="s">
        <v>375</v>
      </c>
      <c r="D81" s="5" t="s">
        <v>376</v>
      </c>
      <c r="E81" s="5" t="s">
        <v>377</v>
      </c>
      <c r="F81" s="5" t="s">
        <v>378</v>
      </c>
      <c r="G81" s="5" t="s">
        <v>17</v>
      </c>
      <c r="H81" s="5" t="s">
        <v>379</v>
      </c>
      <c r="I81" s="8" t="s">
        <v>28</v>
      </c>
      <c r="J81" s="5" t="s">
        <v>268</v>
      </c>
      <c r="K81" s="5"/>
      <c r="L81" s="5"/>
      <c r="M81" s="5"/>
    </row>
    <row r="82" customFormat="false" ht="15" hidden="false" customHeight="true" outlineLevel="0" collapsed="false">
      <c r="A82" s="11" t="s">
        <v>258</v>
      </c>
      <c r="B82" s="5" t="n">
        <v>202</v>
      </c>
      <c r="C82" s="6" t="s">
        <v>380</v>
      </c>
      <c r="D82" s="5" t="s">
        <v>381</v>
      </c>
      <c r="E82" s="5" t="s">
        <v>382</v>
      </c>
      <c r="F82" s="5" t="s">
        <v>189</v>
      </c>
      <c r="G82" s="5" t="s">
        <v>139</v>
      </c>
      <c r="H82" s="5" t="s">
        <v>139</v>
      </c>
      <c r="I82" s="8" t="s">
        <v>28</v>
      </c>
      <c r="J82" s="5" t="s">
        <v>383</v>
      </c>
      <c r="K82" s="5"/>
      <c r="L82" s="5"/>
      <c r="M82" s="5"/>
    </row>
    <row r="83" customFormat="false" ht="15" hidden="false" customHeight="true" outlineLevel="0" collapsed="false">
      <c r="A83" s="11" t="s">
        <v>258</v>
      </c>
      <c r="B83" s="5" t="n">
        <v>209</v>
      </c>
      <c r="C83" s="6" t="s">
        <v>384</v>
      </c>
      <c r="D83" s="5" t="s">
        <v>385</v>
      </c>
      <c r="E83" s="5" t="s">
        <v>209</v>
      </c>
      <c r="F83" s="5" t="s">
        <v>386</v>
      </c>
      <c r="G83" s="5" t="s">
        <v>17</v>
      </c>
      <c r="H83" s="5" t="s">
        <v>146</v>
      </c>
      <c r="I83" s="8" t="s">
        <v>28</v>
      </c>
      <c r="J83" s="5" t="s">
        <v>268</v>
      </c>
      <c r="K83" s="5"/>
      <c r="L83" s="5"/>
      <c r="M83" s="5"/>
    </row>
    <row r="84" customFormat="false" ht="15" hidden="false" customHeight="true" outlineLevel="0" collapsed="false">
      <c r="A84" s="11" t="s">
        <v>258</v>
      </c>
      <c r="B84" s="5" t="n">
        <v>211</v>
      </c>
      <c r="C84" s="6" t="s">
        <v>387</v>
      </c>
      <c r="D84" s="5" t="s">
        <v>388</v>
      </c>
      <c r="E84" s="5" t="s">
        <v>389</v>
      </c>
      <c r="F84" s="5" t="s">
        <v>390</v>
      </c>
      <c r="G84" s="5" t="s">
        <v>17</v>
      </c>
      <c r="H84" s="5" t="s">
        <v>391</v>
      </c>
      <c r="I84" s="8" t="s">
        <v>28</v>
      </c>
      <c r="J84" s="5" t="s">
        <v>268</v>
      </c>
      <c r="K84" s="5"/>
      <c r="L84" s="5"/>
      <c r="M84" s="5"/>
    </row>
    <row r="85" customFormat="false" ht="23.25" hidden="false" customHeight="true" outlineLevel="0" collapsed="false">
      <c r="A85" s="11" t="s">
        <v>258</v>
      </c>
      <c r="B85" s="5" t="n">
        <v>212</v>
      </c>
      <c r="C85" s="6" t="s">
        <v>392</v>
      </c>
      <c r="D85" s="5" t="s">
        <v>393</v>
      </c>
      <c r="E85" s="5" t="s">
        <v>394</v>
      </c>
      <c r="F85" s="5" t="s">
        <v>395</v>
      </c>
      <c r="G85" s="5" t="s">
        <v>17</v>
      </c>
      <c r="H85" s="5" t="s">
        <v>252</v>
      </c>
      <c r="I85" s="9" t="s">
        <v>35</v>
      </c>
      <c r="J85" s="5" t="s">
        <v>268</v>
      </c>
      <c r="K85" s="5"/>
      <c r="L85" s="5"/>
      <c r="M85" s="5"/>
    </row>
    <row r="86" customFormat="false" ht="15" hidden="false" customHeight="true" outlineLevel="0" collapsed="false">
      <c r="A86" s="11" t="s">
        <v>258</v>
      </c>
      <c r="B86" s="5" t="n">
        <v>216</v>
      </c>
      <c r="C86" s="6" t="s">
        <v>396</v>
      </c>
      <c r="D86" s="5" t="s">
        <v>397</v>
      </c>
      <c r="E86" s="5" t="s">
        <v>398</v>
      </c>
      <c r="F86" s="5" t="s">
        <v>102</v>
      </c>
      <c r="G86" s="5" t="s">
        <v>17</v>
      </c>
      <c r="H86" s="5" t="s">
        <v>399</v>
      </c>
      <c r="I86" s="8" t="s">
        <v>28</v>
      </c>
      <c r="J86" s="5" t="s">
        <v>268</v>
      </c>
      <c r="K86" s="5"/>
      <c r="L86" s="5"/>
      <c r="M86" s="5"/>
    </row>
    <row r="87" customFormat="false" ht="23.25" hidden="false" customHeight="true" outlineLevel="0" collapsed="false">
      <c r="A87" s="11" t="s">
        <v>258</v>
      </c>
      <c r="B87" s="5" t="n">
        <v>221</v>
      </c>
      <c r="C87" s="6" t="s">
        <v>400</v>
      </c>
      <c r="D87" s="5" t="s">
        <v>401</v>
      </c>
      <c r="E87" s="5" t="s">
        <v>402</v>
      </c>
      <c r="F87" s="5" t="s">
        <v>403</v>
      </c>
      <c r="G87" s="5" t="s">
        <v>404</v>
      </c>
      <c r="H87" s="5" t="s">
        <v>405</v>
      </c>
      <c r="I87" s="10" t="s">
        <v>56</v>
      </c>
      <c r="J87" s="5" t="s">
        <v>268</v>
      </c>
      <c r="K87" s="5"/>
      <c r="L87" s="5"/>
      <c r="M87" s="5"/>
    </row>
    <row r="88" customFormat="false" ht="15" hidden="false" customHeight="true" outlineLevel="0" collapsed="false">
      <c r="A88" s="11" t="s">
        <v>258</v>
      </c>
      <c r="B88" s="5" t="n">
        <v>228</v>
      </c>
      <c r="C88" s="6" t="s">
        <v>406</v>
      </c>
      <c r="D88" s="5" t="s">
        <v>407</v>
      </c>
      <c r="E88" s="5" t="s">
        <v>408</v>
      </c>
      <c r="F88" s="5" t="s">
        <v>409</v>
      </c>
      <c r="G88" s="5" t="s">
        <v>17</v>
      </c>
      <c r="H88" s="5" t="s">
        <v>391</v>
      </c>
      <c r="I88" s="10" t="s">
        <v>56</v>
      </c>
      <c r="J88" s="5" t="s">
        <v>268</v>
      </c>
      <c r="K88" s="5" t="s">
        <v>21</v>
      </c>
      <c r="L88" s="5" t="s">
        <v>22</v>
      </c>
      <c r="M88" s="5" t="s">
        <v>42</v>
      </c>
    </row>
    <row r="89" customFormat="false" ht="15" hidden="false" customHeight="true" outlineLevel="0" collapsed="false">
      <c r="A89" s="11" t="s">
        <v>258</v>
      </c>
      <c r="B89" s="5" t="n">
        <v>230</v>
      </c>
      <c r="C89" s="6" t="s">
        <v>410</v>
      </c>
      <c r="D89" s="5" t="s">
        <v>411</v>
      </c>
      <c r="E89" s="5" t="s">
        <v>315</v>
      </c>
      <c r="F89" s="5" t="s">
        <v>81</v>
      </c>
      <c r="G89" s="5" t="s">
        <v>97</v>
      </c>
      <c r="H89" s="5" t="s">
        <v>412</v>
      </c>
      <c r="I89" s="10" t="s">
        <v>56</v>
      </c>
      <c r="J89" s="5" t="s">
        <v>268</v>
      </c>
      <c r="K89" s="5" t="s">
        <v>21</v>
      </c>
      <c r="L89" s="5"/>
      <c r="M89" s="5" t="s">
        <v>42</v>
      </c>
    </row>
    <row r="90" customFormat="false" ht="15" hidden="false" customHeight="true" outlineLevel="0" collapsed="false">
      <c r="A90" s="11" t="s">
        <v>258</v>
      </c>
      <c r="B90" s="5" t="n">
        <v>239</v>
      </c>
      <c r="C90" s="6" t="s">
        <v>413</v>
      </c>
      <c r="D90" s="5" t="s">
        <v>414</v>
      </c>
      <c r="E90" s="5" t="s">
        <v>415</v>
      </c>
      <c r="F90" s="5" t="s">
        <v>118</v>
      </c>
      <c r="G90" s="5" t="s">
        <v>17</v>
      </c>
      <c r="H90" s="5" t="s">
        <v>416</v>
      </c>
      <c r="I90" s="9" t="s">
        <v>35</v>
      </c>
      <c r="J90" s="5" t="s">
        <v>417</v>
      </c>
      <c r="K90" s="5" t="s">
        <v>21</v>
      </c>
      <c r="L90" s="5" t="s">
        <v>22</v>
      </c>
      <c r="M90" s="5" t="s">
        <v>22</v>
      </c>
    </row>
    <row r="91" customFormat="false" ht="15" hidden="false" customHeight="true" outlineLevel="0" collapsed="false">
      <c r="A91" s="11" t="s">
        <v>258</v>
      </c>
      <c r="B91" s="5" t="n">
        <v>254</v>
      </c>
      <c r="C91" s="6" t="s">
        <v>418</v>
      </c>
      <c r="D91" s="5" t="s">
        <v>419</v>
      </c>
      <c r="E91" s="5" t="s">
        <v>420</v>
      </c>
      <c r="F91" s="5" t="s">
        <v>421</v>
      </c>
      <c r="G91" s="5" t="s">
        <v>17</v>
      </c>
      <c r="H91" s="5" t="s">
        <v>422</v>
      </c>
      <c r="I91" s="7" t="s">
        <v>19</v>
      </c>
      <c r="J91" s="5" t="s">
        <v>268</v>
      </c>
      <c r="K91" s="5" t="s">
        <v>21</v>
      </c>
      <c r="L91" s="5" t="s">
        <v>22</v>
      </c>
      <c r="M91" s="5" t="s">
        <v>42</v>
      </c>
    </row>
    <row r="92" customFormat="false" ht="15" hidden="false" customHeight="true" outlineLevel="0" collapsed="false">
      <c r="A92" s="11" t="s">
        <v>258</v>
      </c>
      <c r="B92" s="5" t="n">
        <v>260</v>
      </c>
      <c r="C92" s="6" t="s">
        <v>423</v>
      </c>
      <c r="D92" s="5" t="s">
        <v>424</v>
      </c>
      <c r="E92" s="5" t="s">
        <v>425</v>
      </c>
      <c r="F92" s="5" t="s">
        <v>357</v>
      </c>
      <c r="G92" s="5" t="s">
        <v>17</v>
      </c>
      <c r="H92" s="5" t="s">
        <v>146</v>
      </c>
      <c r="I92" s="7" t="s">
        <v>19</v>
      </c>
      <c r="J92" s="5" t="s">
        <v>268</v>
      </c>
      <c r="K92" s="5"/>
      <c r="L92" s="5"/>
      <c r="M92" s="5"/>
    </row>
    <row r="93" customFormat="false" ht="15" hidden="false" customHeight="true" outlineLevel="0" collapsed="false">
      <c r="A93" s="11" t="s">
        <v>258</v>
      </c>
      <c r="B93" s="5" t="n">
        <v>298</v>
      </c>
      <c r="C93" s="6" t="s">
        <v>426</v>
      </c>
      <c r="D93" s="5" t="s">
        <v>427</v>
      </c>
      <c r="E93" s="5" t="s">
        <v>428</v>
      </c>
      <c r="F93" s="5" t="s">
        <v>307</v>
      </c>
      <c r="G93" s="5" t="s">
        <v>17</v>
      </c>
      <c r="H93" s="5" t="s">
        <v>429</v>
      </c>
      <c r="I93" s="9" t="s">
        <v>35</v>
      </c>
      <c r="J93" s="5" t="s">
        <v>268</v>
      </c>
      <c r="K93" s="5"/>
      <c r="L93" s="5"/>
      <c r="M93" s="5"/>
    </row>
    <row r="94" customFormat="false" ht="15" hidden="false" customHeight="true" outlineLevel="0" collapsed="false">
      <c r="A94" s="11" t="s">
        <v>258</v>
      </c>
      <c r="B94" s="5" t="n">
        <v>299</v>
      </c>
      <c r="C94" s="6" t="s">
        <v>430</v>
      </c>
      <c r="D94" s="5" t="s">
        <v>431</v>
      </c>
      <c r="E94" s="5" t="s">
        <v>432</v>
      </c>
      <c r="F94" s="5" t="s">
        <v>16</v>
      </c>
      <c r="G94" s="5" t="s">
        <v>33</v>
      </c>
      <c r="H94" s="5" t="s">
        <v>433</v>
      </c>
      <c r="I94" s="9" t="s">
        <v>35</v>
      </c>
      <c r="J94" s="5" t="s">
        <v>268</v>
      </c>
      <c r="K94" s="5" t="s">
        <v>21</v>
      </c>
      <c r="L94" s="5"/>
      <c r="M94" s="5" t="s">
        <v>42</v>
      </c>
    </row>
    <row r="95" customFormat="false" ht="15" hidden="false" customHeight="true" outlineLevel="0" collapsed="false">
      <c r="A95" s="11" t="s">
        <v>258</v>
      </c>
      <c r="B95" s="5" t="n">
        <v>301</v>
      </c>
      <c r="C95" s="6" t="s">
        <v>434</v>
      </c>
      <c r="D95" s="5" t="s">
        <v>435</v>
      </c>
      <c r="E95" s="5" t="s">
        <v>436</v>
      </c>
      <c r="F95" s="5" t="s">
        <v>304</v>
      </c>
      <c r="G95" s="5" t="s">
        <v>17</v>
      </c>
      <c r="H95" s="5" t="s">
        <v>437</v>
      </c>
      <c r="I95" s="9" t="s">
        <v>35</v>
      </c>
      <c r="J95" s="5" t="s">
        <v>438</v>
      </c>
      <c r="K95" s="5" t="s">
        <v>21</v>
      </c>
      <c r="L95" s="5" t="s">
        <v>22</v>
      </c>
      <c r="M95" s="5" t="s">
        <v>22</v>
      </c>
    </row>
    <row r="96" customFormat="false" ht="15" hidden="false" customHeight="true" outlineLevel="0" collapsed="false">
      <c r="A96" s="11" t="s">
        <v>258</v>
      </c>
      <c r="B96" s="5" t="n">
        <v>314</v>
      </c>
      <c r="C96" s="6" t="s">
        <v>439</v>
      </c>
      <c r="D96" s="5" t="s">
        <v>440</v>
      </c>
      <c r="E96" s="5" t="s">
        <v>346</v>
      </c>
      <c r="F96" s="5" t="s">
        <v>441</v>
      </c>
      <c r="G96" s="5" t="s">
        <v>17</v>
      </c>
      <c r="H96" s="5" t="s">
        <v>442</v>
      </c>
      <c r="I96" s="8" t="s">
        <v>28</v>
      </c>
      <c r="J96" s="5" t="s">
        <v>268</v>
      </c>
      <c r="K96" s="5"/>
      <c r="L96" s="5"/>
      <c r="M96" s="5"/>
    </row>
    <row r="97" customFormat="false" ht="15" hidden="false" customHeight="true" outlineLevel="0" collapsed="false">
      <c r="A97" s="11" t="s">
        <v>258</v>
      </c>
      <c r="B97" s="5" t="n">
        <v>316</v>
      </c>
      <c r="C97" s="6" t="s">
        <v>443</v>
      </c>
      <c r="D97" s="5" t="s">
        <v>444</v>
      </c>
      <c r="E97" s="5" t="s">
        <v>445</v>
      </c>
      <c r="F97" s="5" t="s">
        <v>446</v>
      </c>
      <c r="G97" s="5" t="s">
        <v>139</v>
      </c>
      <c r="H97" s="5" t="s">
        <v>447</v>
      </c>
      <c r="I97" s="7" t="s">
        <v>19</v>
      </c>
      <c r="J97" s="5" t="s">
        <v>268</v>
      </c>
      <c r="K97" s="5"/>
      <c r="L97" s="5"/>
      <c r="M97" s="5"/>
    </row>
    <row r="98" customFormat="false" ht="15" hidden="false" customHeight="true" outlineLevel="0" collapsed="false">
      <c r="A98" s="11" t="s">
        <v>258</v>
      </c>
      <c r="B98" s="5" t="n">
        <v>323</v>
      </c>
      <c r="C98" s="6" t="s">
        <v>448</v>
      </c>
      <c r="D98" s="5" t="s">
        <v>449</v>
      </c>
      <c r="E98" s="5" t="s">
        <v>450</v>
      </c>
      <c r="F98" s="5" t="s">
        <v>373</v>
      </c>
      <c r="G98" s="5" t="s">
        <v>17</v>
      </c>
      <c r="H98" s="5" t="s">
        <v>134</v>
      </c>
      <c r="I98" s="8" t="s">
        <v>28</v>
      </c>
      <c r="J98" s="5" t="s">
        <v>451</v>
      </c>
      <c r="K98" s="5"/>
      <c r="L98" s="5"/>
      <c r="M98" s="5"/>
    </row>
    <row r="99" customFormat="false" ht="15" hidden="false" customHeight="true" outlineLevel="0" collapsed="false">
      <c r="A99" s="11" t="s">
        <v>258</v>
      </c>
      <c r="B99" s="5" t="n">
        <v>329</v>
      </c>
      <c r="C99" s="6" t="s">
        <v>452</v>
      </c>
      <c r="D99" s="5" t="s">
        <v>453</v>
      </c>
      <c r="E99" s="5" t="s">
        <v>454</v>
      </c>
      <c r="F99" s="5" t="s">
        <v>455</v>
      </c>
      <c r="G99" s="5" t="s">
        <v>97</v>
      </c>
      <c r="H99" s="5" t="s">
        <v>229</v>
      </c>
      <c r="I99" s="9" t="s">
        <v>35</v>
      </c>
      <c r="J99" s="5" t="s">
        <v>268</v>
      </c>
      <c r="K99" s="5"/>
      <c r="L99" s="5" t="s">
        <v>22</v>
      </c>
      <c r="M99" s="5"/>
    </row>
    <row r="100" customFormat="false" ht="15" hidden="false" customHeight="true" outlineLevel="0" collapsed="false">
      <c r="A100" s="11" t="s">
        <v>258</v>
      </c>
      <c r="B100" s="5" t="n">
        <v>341</v>
      </c>
      <c r="C100" s="6" t="s">
        <v>456</v>
      </c>
      <c r="D100" s="5" t="s">
        <v>457</v>
      </c>
      <c r="E100" s="5" t="s">
        <v>95</v>
      </c>
      <c r="F100" s="5" t="s">
        <v>458</v>
      </c>
      <c r="G100" s="5" t="s">
        <v>97</v>
      </c>
      <c r="H100" s="5" t="s">
        <v>98</v>
      </c>
      <c r="I100" s="9" t="s">
        <v>35</v>
      </c>
      <c r="J100" s="5" t="s">
        <v>268</v>
      </c>
      <c r="K100" s="5" t="s">
        <v>21</v>
      </c>
      <c r="L100" s="5"/>
      <c r="M100" s="5" t="s">
        <v>42</v>
      </c>
    </row>
    <row r="101" customFormat="false" ht="15" hidden="false" customHeight="true" outlineLevel="0" collapsed="false">
      <c r="A101" s="11" t="s">
        <v>258</v>
      </c>
      <c r="B101" s="5" t="n">
        <v>349</v>
      </c>
      <c r="C101" s="6" t="s">
        <v>459</v>
      </c>
      <c r="D101" s="5" t="s">
        <v>460</v>
      </c>
      <c r="E101" s="5" t="s">
        <v>461</v>
      </c>
      <c r="F101" s="5" t="s">
        <v>151</v>
      </c>
      <c r="G101" s="5" t="s">
        <v>97</v>
      </c>
      <c r="H101" s="5" t="s">
        <v>146</v>
      </c>
      <c r="I101" s="9" t="s">
        <v>35</v>
      </c>
      <c r="J101" s="5" t="s">
        <v>268</v>
      </c>
      <c r="K101" s="5"/>
      <c r="L101" s="5"/>
      <c r="M101" s="5"/>
    </row>
    <row r="102" customFormat="false" ht="15" hidden="false" customHeight="true" outlineLevel="0" collapsed="false">
      <c r="A102" s="12" t="s">
        <v>462</v>
      </c>
      <c r="B102" s="5" t="n">
        <v>15</v>
      </c>
      <c r="C102" s="6" t="s">
        <v>463</v>
      </c>
      <c r="D102" s="5"/>
      <c r="E102" s="5" t="s">
        <v>464</v>
      </c>
      <c r="F102" s="5" t="s">
        <v>465</v>
      </c>
      <c r="G102" s="5" t="s">
        <v>17</v>
      </c>
      <c r="H102" s="5" t="s">
        <v>190</v>
      </c>
      <c r="I102" s="8" t="s">
        <v>28</v>
      </c>
      <c r="J102" s="5" t="s">
        <v>466</v>
      </c>
      <c r="K102" s="5"/>
      <c r="L102" s="5"/>
      <c r="M102" s="5"/>
    </row>
    <row r="103" customFormat="false" ht="15" hidden="false" customHeight="true" outlineLevel="0" collapsed="false">
      <c r="A103" s="12" t="s">
        <v>462</v>
      </c>
      <c r="B103" s="5" t="n">
        <v>19</v>
      </c>
      <c r="C103" s="6" t="s">
        <v>467</v>
      </c>
      <c r="D103" s="5" t="s">
        <v>468</v>
      </c>
      <c r="E103" s="5" t="s">
        <v>469</v>
      </c>
      <c r="F103" s="5" t="s">
        <v>470</v>
      </c>
      <c r="G103" s="5" t="s">
        <v>471</v>
      </c>
      <c r="H103" s="5" t="s">
        <v>472</v>
      </c>
      <c r="I103" s="10" t="s">
        <v>56</v>
      </c>
      <c r="J103" s="5" t="s">
        <v>466</v>
      </c>
      <c r="K103" s="5" t="s">
        <v>21</v>
      </c>
      <c r="L103" s="5"/>
      <c r="M103" s="5" t="s">
        <v>215</v>
      </c>
    </row>
    <row r="104" customFormat="false" ht="15" hidden="false" customHeight="true" outlineLevel="0" collapsed="false">
      <c r="A104" s="12" t="s">
        <v>462</v>
      </c>
      <c r="B104" s="5" t="n">
        <v>20</v>
      </c>
      <c r="C104" s="6" t="s">
        <v>473</v>
      </c>
      <c r="D104" s="5" t="s">
        <v>474</v>
      </c>
      <c r="E104" s="5" t="s">
        <v>475</v>
      </c>
      <c r="F104" s="5" t="s">
        <v>133</v>
      </c>
      <c r="G104" s="5" t="s">
        <v>17</v>
      </c>
      <c r="H104" s="5" t="s">
        <v>476</v>
      </c>
      <c r="I104" s="8" t="s">
        <v>28</v>
      </c>
      <c r="J104" s="5" t="s">
        <v>466</v>
      </c>
      <c r="K104" s="5"/>
      <c r="L104" s="5"/>
      <c r="M104" s="5"/>
    </row>
    <row r="105" customFormat="false" ht="15" hidden="false" customHeight="true" outlineLevel="0" collapsed="false">
      <c r="A105" s="12" t="s">
        <v>462</v>
      </c>
      <c r="B105" s="5" t="n">
        <v>30</v>
      </c>
      <c r="C105" s="6" t="s">
        <v>477</v>
      </c>
      <c r="D105" s="5" t="s">
        <v>478</v>
      </c>
      <c r="E105" s="5" t="s">
        <v>479</v>
      </c>
      <c r="F105" s="5" t="s">
        <v>395</v>
      </c>
      <c r="G105" s="5" t="s">
        <v>17</v>
      </c>
      <c r="H105" s="5" t="s">
        <v>252</v>
      </c>
      <c r="I105" s="10" t="s">
        <v>56</v>
      </c>
      <c r="J105" s="5" t="s">
        <v>466</v>
      </c>
      <c r="K105" s="5"/>
      <c r="L105" s="5"/>
      <c r="M105" s="5"/>
    </row>
    <row r="106" customFormat="false" ht="15" hidden="false" customHeight="true" outlineLevel="0" collapsed="false">
      <c r="A106" s="12" t="s">
        <v>462</v>
      </c>
      <c r="B106" s="5" t="n">
        <v>31</v>
      </c>
      <c r="C106" s="6" t="s">
        <v>480</v>
      </c>
      <c r="D106" s="5" t="s">
        <v>481</v>
      </c>
      <c r="E106" s="5" t="s">
        <v>482</v>
      </c>
      <c r="F106" s="5" t="s">
        <v>304</v>
      </c>
      <c r="G106" s="5" t="s">
        <v>17</v>
      </c>
      <c r="H106" s="5" t="s">
        <v>146</v>
      </c>
      <c r="I106" s="8" t="s">
        <v>28</v>
      </c>
      <c r="J106" s="5" t="s">
        <v>466</v>
      </c>
      <c r="K106" s="5"/>
      <c r="L106" s="5"/>
      <c r="M106" s="5"/>
    </row>
    <row r="107" customFormat="false" ht="15" hidden="false" customHeight="true" outlineLevel="0" collapsed="false">
      <c r="A107" s="12" t="s">
        <v>462</v>
      </c>
      <c r="B107" s="5" t="n">
        <v>33</v>
      </c>
      <c r="C107" s="6" t="s">
        <v>483</v>
      </c>
      <c r="D107" s="5" t="s">
        <v>484</v>
      </c>
      <c r="E107" s="5" t="s">
        <v>485</v>
      </c>
      <c r="F107" s="5" t="s">
        <v>486</v>
      </c>
      <c r="G107" s="5" t="s">
        <v>195</v>
      </c>
      <c r="H107" s="5" t="s">
        <v>220</v>
      </c>
      <c r="I107" s="7" t="s">
        <v>19</v>
      </c>
      <c r="J107" s="5" t="s">
        <v>487</v>
      </c>
      <c r="K107" s="5"/>
      <c r="L107" s="5"/>
      <c r="M107" s="5"/>
    </row>
    <row r="108" customFormat="false" ht="15" hidden="false" customHeight="true" outlineLevel="0" collapsed="false">
      <c r="A108" s="12" t="s">
        <v>462</v>
      </c>
      <c r="B108" s="5" t="n">
        <v>36</v>
      </c>
      <c r="C108" s="6" t="s">
        <v>488</v>
      </c>
      <c r="D108" s="5"/>
      <c r="E108" s="5" t="s">
        <v>489</v>
      </c>
      <c r="F108" s="5" t="s">
        <v>357</v>
      </c>
      <c r="G108" s="5" t="s">
        <v>17</v>
      </c>
      <c r="H108" s="5" t="s">
        <v>490</v>
      </c>
      <c r="I108" s="8" t="s">
        <v>28</v>
      </c>
      <c r="J108" s="5" t="s">
        <v>466</v>
      </c>
      <c r="K108" s="5"/>
      <c r="L108" s="5"/>
      <c r="M108" s="5"/>
    </row>
    <row r="109" customFormat="false" ht="15" hidden="false" customHeight="true" outlineLevel="0" collapsed="false">
      <c r="A109" s="12" t="s">
        <v>462</v>
      </c>
      <c r="B109" s="5" t="n">
        <v>46</v>
      </c>
      <c r="C109" s="6" t="s">
        <v>491</v>
      </c>
      <c r="D109" s="5" t="s">
        <v>492</v>
      </c>
      <c r="E109" s="5" t="s">
        <v>493</v>
      </c>
      <c r="F109" s="5" t="s">
        <v>494</v>
      </c>
      <c r="G109" s="5" t="s">
        <v>17</v>
      </c>
      <c r="H109" s="5" t="s">
        <v>125</v>
      </c>
      <c r="I109" s="9" t="s">
        <v>35</v>
      </c>
      <c r="J109" s="5" t="s">
        <v>466</v>
      </c>
      <c r="K109" s="5"/>
      <c r="L109" s="5"/>
      <c r="M109" s="5"/>
    </row>
    <row r="110" customFormat="false" ht="15" hidden="false" customHeight="true" outlineLevel="0" collapsed="false">
      <c r="A110" s="12" t="s">
        <v>462</v>
      </c>
      <c r="B110" s="5" t="n">
        <v>49</v>
      </c>
      <c r="C110" s="6" t="s">
        <v>495</v>
      </c>
      <c r="D110" s="5"/>
      <c r="E110" s="5" t="s">
        <v>496</v>
      </c>
      <c r="F110" s="5" t="s">
        <v>40</v>
      </c>
      <c r="G110" s="5" t="s">
        <v>103</v>
      </c>
      <c r="H110" s="5" t="s">
        <v>497</v>
      </c>
      <c r="I110" s="10" t="s">
        <v>56</v>
      </c>
      <c r="J110" s="5" t="s">
        <v>466</v>
      </c>
      <c r="K110" s="5"/>
      <c r="L110" s="5"/>
      <c r="M110" s="5"/>
    </row>
    <row r="111" customFormat="false" ht="15" hidden="false" customHeight="true" outlineLevel="0" collapsed="false">
      <c r="A111" s="12" t="s">
        <v>462</v>
      </c>
      <c r="B111" s="5" t="n">
        <v>50</v>
      </c>
      <c r="C111" s="6" t="s">
        <v>498</v>
      </c>
      <c r="D111" s="5" t="s">
        <v>499</v>
      </c>
      <c r="E111" s="5" t="s">
        <v>213</v>
      </c>
      <c r="F111" s="5" t="s">
        <v>486</v>
      </c>
      <c r="G111" s="5" t="s">
        <v>17</v>
      </c>
      <c r="H111" s="5" t="s">
        <v>252</v>
      </c>
      <c r="I111" s="10" t="s">
        <v>56</v>
      </c>
      <c r="J111" s="5" t="s">
        <v>466</v>
      </c>
      <c r="K111" s="5" t="s">
        <v>21</v>
      </c>
      <c r="L111" s="5"/>
      <c r="M111" s="5" t="s">
        <v>42</v>
      </c>
    </row>
    <row r="112" customFormat="false" ht="15" hidden="false" customHeight="true" outlineLevel="0" collapsed="false">
      <c r="A112" s="12" t="s">
        <v>462</v>
      </c>
      <c r="B112" s="5" t="n">
        <v>72</v>
      </c>
      <c r="C112" s="6" t="s">
        <v>500</v>
      </c>
      <c r="D112" s="5" t="s">
        <v>501</v>
      </c>
      <c r="E112" s="5" t="s">
        <v>502</v>
      </c>
      <c r="F112" s="5" t="s">
        <v>347</v>
      </c>
      <c r="G112" s="5" t="s">
        <v>17</v>
      </c>
      <c r="H112" s="5" t="s">
        <v>490</v>
      </c>
      <c r="I112" s="8" t="s">
        <v>28</v>
      </c>
      <c r="J112" s="5" t="s">
        <v>466</v>
      </c>
      <c r="K112" s="5"/>
      <c r="L112" s="5"/>
      <c r="M112" s="5"/>
    </row>
    <row r="113" customFormat="false" ht="15" hidden="false" customHeight="true" outlineLevel="0" collapsed="false">
      <c r="A113" s="12" t="s">
        <v>462</v>
      </c>
      <c r="B113" s="5" t="n">
        <v>77</v>
      </c>
      <c r="C113" s="6" t="s">
        <v>503</v>
      </c>
      <c r="D113" s="5" t="s">
        <v>504</v>
      </c>
      <c r="E113" s="5" t="s">
        <v>505</v>
      </c>
      <c r="F113" s="5" t="s">
        <v>506</v>
      </c>
      <c r="G113" s="5" t="s">
        <v>17</v>
      </c>
      <c r="H113" s="5" t="s">
        <v>507</v>
      </c>
      <c r="I113" s="8" t="s">
        <v>28</v>
      </c>
      <c r="J113" s="5" t="s">
        <v>466</v>
      </c>
      <c r="K113" s="5"/>
      <c r="L113" s="5"/>
      <c r="M113" s="5"/>
    </row>
    <row r="114" customFormat="false" ht="15" hidden="false" customHeight="true" outlineLevel="0" collapsed="false">
      <c r="A114" s="12" t="s">
        <v>462</v>
      </c>
      <c r="B114" s="5" t="n">
        <v>89</v>
      </c>
      <c r="C114" s="6" t="s">
        <v>508</v>
      </c>
      <c r="D114" s="5" t="s">
        <v>509</v>
      </c>
      <c r="E114" s="5" t="s">
        <v>510</v>
      </c>
      <c r="F114" s="5" t="s">
        <v>441</v>
      </c>
      <c r="G114" s="5" t="s">
        <v>139</v>
      </c>
      <c r="H114" s="5" t="s">
        <v>139</v>
      </c>
      <c r="I114" s="7" t="s">
        <v>19</v>
      </c>
      <c r="J114" s="5" t="s">
        <v>466</v>
      </c>
      <c r="K114" s="5"/>
      <c r="L114" s="5"/>
      <c r="M114" s="5"/>
    </row>
    <row r="115" customFormat="false" ht="15" hidden="false" customHeight="true" outlineLevel="0" collapsed="false">
      <c r="A115" s="12" t="s">
        <v>462</v>
      </c>
      <c r="B115" s="5" t="n">
        <v>91</v>
      </c>
      <c r="C115" s="6" t="s">
        <v>511</v>
      </c>
      <c r="D115" s="5" t="s">
        <v>512</v>
      </c>
      <c r="E115" s="5" t="s">
        <v>513</v>
      </c>
      <c r="F115" s="5" t="s">
        <v>514</v>
      </c>
      <c r="G115" s="5" t="s">
        <v>17</v>
      </c>
      <c r="H115" s="5" t="s">
        <v>515</v>
      </c>
      <c r="I115" s="10" t="s">
        <v>56</v>
      </c>
      <c r="J115" s="5" t="s">
        <v>466</v>
      </c>
      <c r="K115" s="5" t="s">
        <v>21</v>
      </c>
      <c r="L115" s="5"/>
      <c r="M115" s="5" t="s">
        <v>42</v>
      </c>
    </row>
    <row r="116" customFormat="false" ht="15" hidden="false" customHeight="true" outlineLevel="0" collapsed="false">
      <c r="A116" s="12" t="s">
        <v>462</v>
      </c>
      <c r="B116" s="5" t="n">
        <v>103</v>
      </c>
      <c r="C116" s="6" t="s">
        <v>516</v>
      </c>
      <c r="D116" s="5" t="s">
        <v>517</v>
      </c>
      <c r="E116" s="5" t="s">
        <v>518</v>
      </c>
      <c r="F116" s="5" t="s">
        <v>519</v>
      </c>
      <c r="G116" s="5" t="s">
        <v>17</v>
      </c>
      <c r="H116" s="5" t="s">
        <v>520</v>
      </c>
      <c r="I116" s="9" t="s">
        <v>35</v>
      </c>
      <c r="J116" s="5" t="s">
        <v>466</v>
      </c>
      <c r="K116" s="5"/>
      <c r="L116" s="5" t="s">
        <v>22</v>
      </c>
      <c r="M116" s="5"/>
    </row>
    <row r="117" customFormat="false" ht="15" hidden="false" customHeight="true" outlineLevel="0" collapsed="false">
      <c r="A117" s="12" t="s">
        <v>462</v>
      </c>
      <c r="B117" s="5" t="n">
        <v>105</v>
      </c>
      <c r="C117" s="6" t="s">
        <v>521</v>
      </c>
      <c r="D117" s="5" t="s">
        <v>522</v>
      </c>
      <c r="E117" s="5" t="s">
        <v>523</v>
      </c>
      <c r="F117" s="5" t="s">
        <v>486</v>
      </c>
      <c r="G117" s="5" t="s">
        <v>17</v>
      </c>
      <c r="H117" s="5" t="s">
        <v>146</v>
      </c>
      <c r="I117" s="9" t="s">
        <v>35</v>
      </c>
      <c r="J117" s="5" t="s">
        <v>466</v>
      </c>
      <c r="K117" s="5"/>
      <c r="L117" s="5"/>
      <c r="M117" s="5"/>
    </row>
    <row r="118" customFormat="false" ht="15" hidden="false" customHeight="true" outlineLevel="0" collapsed="false">
      <c r="A118" s="12" t="s">
        <v>462</v>
      </c>
      <c r="B118" s="5" t="n">
        <v>109</v>
      </c>
      <c r="C118" s="6" t="s">
        <v>524</v>
      </c>
      <c r="D118" s="5" t="s">
        <v>525</v>
      </c>
      <c r="E118" s="5" t="s">
        <v>526</v>
      </c>
      <c r="F118" s="5" t="s">
        <v>527</v>
      </c>
      <c r="G118" s="5" t="s">
        <v>195</v>
      </c>
      <c r="H118" s="5" t="s">
        <v>528</v>
      </c>
      <c r="I118" s="9" t="s">
        <v>35</v>
      </c>
      <c r="J118" s="5" t="s">
        <v>466</v>
      </c>
      <c r="K118" s="5"/>
      <c r="L118" s="5"/>
      <c r="M118" s="5"/>
    </row>
    <row r="119" customFormat="false" ht="15" hidden="false" customHeight="true" outlineLevel="0" collapsed="false">
      <c r="A119" s="12" t="s">
        <v>462</v>
      </c>
      <c r="B119" s="5" t="n">
        <v>114</v>
      </c>
      <c r="C119" s="6" t="s">
        <v>529</v>
      </c>
      <c r="D119" s="5" t="s">
        <v>530</v>
      </c>
      <c r="E119" s="5" t="s">
        <v>531</v>
      </c>
      <c r="F119" s="5" t="s">
        <v>532</v>
      </c>
      <c r="G119" s="5" t="s">
        <v>17</v>
      </c>
      <c r="H119" s="5" t="s">
        <v>146</v>
      </c>
      <c r="I119" s="9" t="s">
        <v>35</v>
      </c>
      <c r="J119" s="5" t="s">
        <v>466</v>
      </c>
      <c r="K119" s="5"/>
      <c r="L119" s="5"/>
      <c r="M119" s="5"/>
    </row>
    <row r="120" customFormat="false" ht="15" hidden="false" customHeight="true" outlineLevel="0" collapsed="false">
      <c r="A120" s="12" t="s">
        <v>462</v>
      </c>
      <c r="B120" s="5" t="n">
        <v>117</v>
      </c>
      <c r="C120" s="6" t="s">
        <v>533</v>
      </c>
      <c r="D120" s="5" t="s">
        <v>534</v>
      </c>
      <c r="E120" s="5" t="s">
        <v>95</v>
      </c>
      <c r="F120" s="5" t="s">
        <v>535</v>
      </c>
      <c r="G120" s="5" t="s">
        <v>97</v>
      </c>
      <c r="H120" s="5" t="s">
        <v>98</v>
      </c>
      <c r="I120" s="10" t="s">
        <v>56</v>
      </c>
      <c r="J120" s="5" t="s">
        <v>466</v>
      </c>
      <c r="K120" s="5"/>
      <c r="L120" s="5"/>
      <c r="M120" s="5"/>
    </row>
    <row r="121" customFormat="false" ht="15" hidden="false" customHeight="true" outlineLevel="0" collapsed="false">
      <c r="A121" s="12" t="s">
        <v>462</v>
      </c>
      <c r="B121" s="5" t="n">
        <v>120</v>
      </c>
      <c r="C121" s="6" t="s">
        <v>536</v>
      </c>
      <c r="D121" s="5" t="s">
        <v>537</v>
      </c>
      <c r="E121" s="5" t="s">
        <v>538</v>
      </c>
      <c r="F121" s="5" t="s">
        <v>539</v>
      </c>
      <c r="G121" s="5" t="s">
        <v>195</v>
      </c>
      <c r="H121" s="5" t="s">
        <v>195</v>
      </c>
      <c r="I121" s="10" t="s">
        <v>56</v>
      </c>
      <c r="J121" s="5" t="s">
        <v>466</v>
      </c>
      <c r="K121" s="5"/>
      <c r="L121" s="5"/>
      <c r="M121" s="5"/>
    </row>
    <row r="122" customFormat="false" ht="15" hidden="false" customHeight="true" outlineLevel="0" collapsed="false">
      <c r="A122" s="12" t="s">
        <v>462</v>
      </c>
      <c r="B122" s="5" t="n">
        <v>121</v>
      </c>
      <c r="C122" s="6" t="s">
        <v>540</v>
      </c>
      <c r="D122" s="5" t="s">
        <v>541</v>
      </c>
      <c r="E122" s="5" t="s">
        <v>542</v>
      </c>
      <c r="F122" s="5" t="s">
        <v>543</v>
      </c>
      <c r="G122" s="5" t="s">
        <v>17</v>
      </c>
      <c r="H122" s="5" t="s">
        <v>490</v>
      </c>
      <c r="I122" s="7" t="s">
        <v>19</v>
      </c>
      <c r="J122" s="5" t="s">
        <v>466</v>
      </c>
      <c r="K122" s="5"/>
      <c r="L122" s="5" t="s">
        <v>22</v>
      </c>
      <c r="M122" s="5"/>
    </row>
    <row r="123" customFormat="false" ht="15" hidden="false" customHeight="true" outlineLevel="0" collapsed="false">
      <c r="A123" s="12" t="s">
        <v>462</v>
      </c>
      <c r="B123" s="5" t="n">
        <v>122</v>
      </c>
      <c r="C123" s="6" t="s">
        <v>544</v>
      </c>
      <c r="D123" s="5" t="s">
        <v>545</v>
      </c>
      <c r="E123" s="5" t="s">
        <v>546</v>
      </c>
      <c r="F123" s="5" t="s">
        <v>32</v>
      </c>
      <c r="G123" s="5" t="s">
        <v>547</v>
      </c>
      <c r="H123" s="5" t="s">
        <v>548</v>
      </c>
      <c r="I123" s="7" t="s">
        <v>19</v>
      </c>
      <c r="J123" s="5" t="s">
        <v>466</v>
      </c>
      <c r="K123" s="5"/>
      <c r="L123" s="5"/>
      <c r="M123" s="5"/>
    </row>
    <row r="124" customFormat="false" ht="15" hidden="false" customHeight="true" outlineLevel="0" collapsed="false">
      <c r="A124" s="12" t="s">
        <v>462</v>
      </c>
      <c r="B124" s="5" t="n">
        <v>133</v>
      </c>
      <c r="C124" s="6" t="s">
        <v>549</v>
      </c>
      <c r="D124" s="5" t="s">
        <v>550</v>
      </c>
      <c r="E124" s="5" t="s">
        <v>432</v>
      </c>
      <c r="F124" s="5" t="s">
        <v>138</v>
      </c>
      <c r="G124" s="5" t="s">
        <v>139</v>
      </c>
      <c r="H124" s="5" t="s">
        <v>139</v>
      </c>
      <c r="I124" s="8" t="s">
        <v>28</v>
      </c>
      <c r="J124" s="5" t="s">
        <v>466</v>
      </c>
      <c r="K124" s="5"/>
      <c r="L124" s="5"/>
      <c r="M124" s="5"/>
    </row>
    <row r="125" customFormat="false" ht="15" hidden="false" customHeight="true" outlineLevel="0" collapsed="false">
      <c r="A125" s="12" t="s">
        <v>462</v>
      </c>
      <c r="B125" s="5" t="n">
        <v>151</v>
      </c>
      <c r="C125" s="6" t="s">
        <v>551</v>
      </c>
      <c r="D125" s="5" t="s">
        <v>552</v>
      </c>
      <c r="E125" s="5" t="s">
        <v>159</v>
      </c>
      <c r="F125" s="5" t="s">
        <v>553</v>
      </c>
      <c r="G125" s="5" t="s">
        <v>17</v>
      </c>
      <c r="H125" s="5" t="s">
        <v>554</v>
      </c>
      <c r="I125" s="9" t="s">
        <v>35</v>
      </c>
      <c r="J125" s="5" t="s">
        <v>466</v>
      </c>
      <c r="K125" s="5" t="s">
        <v>21</v>
      </c>
      <c r="L125" s="5"/>
      <c r="M125" s="5" t="s">
        <v>22</v>
      </c>
    </row>
    <row r="126" customFormat="false" ht="15" hidden="false" customHeight="true" outlineLevel="0" collapsed="false">
      <c r="A126" s="12" t="s">
        <v>462</v>
      </c>
      <c r="B126" s="5" t="n">
        <v>159</v>
      </c>
      <c r="C126" s="6" t="s">
        <v>555</v>
      </c>
      <c r="D126" s="5" t="s">
        <v>556</v>
      </c>
      <c r="E126" s="5" t="s">
        <v>557</v>
      </c>
      <c r="F126" s="5" t="s">
        <v>357</v>
      </c>
      <c r="G126" s="5" t="s">
        <v>17</v>
      </c>
      <c r="H126" s="5" t="s">
        <v>558</v>
      </c>
      <c r="I126" s="9" t="s">
        <v>35</v>
      </c>
      <c r="J126" s="5" t="s">
        <v>466</v>
      </c>
      <c r="K126" s="5"/>
      <c r="L126" s="5"/>
      <c r="M126" s="5"/>
    </row>
    <row r="127" customFormat="false" ht="15" hidden="false" customHeight="true" outlineLevel="0" collapsed="false">
      <c r="A127" s="12" t="s">
        <v>462</v>
      </c>
      <c r="B127" s="5" t="n">
        <v>169</v>
      </c>
      <c r="C127" s="6" t="s">
        <v>559</v>
      </c>
      <c r="D127" s="5" t="s">
        <v>560</v>
      </c>
      <c r="E127" s="5" t="s">
        <v>561</v>
      </c>
      <c r="F127" s="5" t="s">
        <v>180</v>
      </c>
      <c r="G127" s="5" t="s">
        <v>97</v>
      </c>
      <c r="H127" s="5" t="s">
        <v>562</v>
      </c>
      <c r="I127" s="10" t="s">
        <v>56</v>
      </c>
      <c r="J127" s="5" t="s">
        <v>466</v>
      </c>
      <c r="K127" s="5"/>
      <c r="L127" s="5"/>
      <c r="M127" s="5"/>
    </row>
    <row r="128" customFormat="false" ht="15" hidden="false" customHeight="true" outlineLevel="0" collapsed="false">
      <c r="A128" s="12" t="s">
        <v>462</v>
      </c>
      <c r="B128" s="5" t="n">
        <v>181</v>
      </c>
      <c r="C128" s="6" t="s">
        <v>563</v>
      </c>
      <c r="D128" s="5" t="s">
        <v>564</v>
      </c>
      <c r="E128" s="5" t="s">
        <v>565</v>
      </c>
      <c r="F128" s="5" t="s">
        <v>155</v>
      </c>
      <c r="G128" s="5" t="s">
        <v>17</v>
      </c>
      <c r="H128" s="5" t="s">
        <v>566</v>
      </c>
      <c r="I128" s="9" t="s">
        <v>35</v>
      </c>
      <c r="J128" s="5" t="s">
        <v>466</v>
      </c>
      <c r="K128" s="5"/>
      <c r="L128" s="5"/>
      <c r="M128" s="5"/>
    </row>
    <row r="129" customFormat="false" ht="15" hidden="false" customHeight="true" outlineLevel="0" collapsed="false">
      <c r="A129" s="12" t="s">
        <v>462</v>
      </c>
      <c r="B129" s="5" t="n">
        <v>194</v>
      </c>
      <c r="C129" s="6" t="s">
        <v>567</v>
      </c>
      <c r="D129" s="5"/>
      <c r="E129" s="5" t="s">
        <v>568</v>
      </c>
      <c r="F129" s="5" t="s">
        <v>569</v>
      </c>
      <c r="G129" s="5" t="s">
        <v>17</v>
      </c>
      <c r="H129" s="5" t="s">
        <v>252</v>
      </c>
      <c r="I129" s="7" t="s">
        <v>19</v>
      </c>
      <c r="J129" s="5" t="s">
        <v>466</v>
      </c>
      <c r="K129" s="5"/>
      <c r="L129" s="5"/>
      <c r="M129" s="5"/>
    </row>
    <row r="130" customFormat="false" ht="15" hidden="false" customHeight="true" outlineLevel="0" collapsed="false">
      <c r="A130" s="12" t="s">
        <v>462</v>
      </c>
      <c r="B130" s="5" t="n">
        <v>196</v>
      </c>
      <c r="C130" s="6" t="s">
        <v>570</v>
      </c>
      <c r="D130" s="5" t="s">
        <v>571</v>
      </c>
      <c r="E130" s="5" t="s">
        <v>174</v>
      </c>
      <c r="F130" s="5" t="s">
        <v>514</v>
      </c>
      <c r="G130" s="5" t="s">
        <v>572</v>
      </c>
      <c r="H130" s="5" t="s">
        <v>572</v>
      </c>
      <c r="I130" s="8" t="s">
        <v>28</v>
      </c>
      <c r="J130" s="5" t="s">
        <v>466</v>
      </c>
      <c r="K130" s="5"/>
      <c r="L130" s="5"/>
      <c r="M130" s="5"/>
    </row>
    <row r="131" customFormat="false" ht="15" hidden="false" customHeight="true" outlineLevel="0" collapsed="false">
      <c r="A131" s="12" t="s">
        <v>462</v>
      </c>
      <c r="B131" s="5" t="n">
        <v>224</v>
      </c>
      <c r="C131" s="6" t="s">
        <v>573</v>
      </c>
      <c r="D131" s="5" t="s">
        <v>574</v>
      </c>
      <c r="E131" s="5" t="s">
        <v>575</v>
      </c>
      <c r="F131" s="5" t="s">
        <v>165</v>
      </c>
      <c r="G131" s="5" t="s">
        <v>17</v>
      </c>
      <c r="H131" s="5" t="s">
        <v>562</v>
      </c>
      <c r="I131" s="8" t="s">
        <v>28</v>
      </c>
      <c r="J131" s="5" t="s">
        <v>466</v>
      </c>
      <c r="K131" s="5"/>
      <c r="L131" s="5"/>
      <c r="M131" s="5"/>
    </row>
    <row r="132" customFormat="false" ht="15" hidden="false" customHeight="true" outlineLevel="0" collapsed="false">
      <c r="A132" s="12" t="s">
        <v>462</v>
      </c>
      <c r="B132" s="5" t="n">
        <v>225</v>
      </c>
      <c r="C132" s="6" t="s">
        <v>576</v>
      </c>
      <c r="D132" s="5"/>
      <c r="E132" s="5" t="s">
        <v>577</v>
      </c>
      <c r="F132" s="5" t="s">
        <v>26</v>
      </c>
      <c r="G132" s="5" t="s">
        <v>578</v>
      </c>
      <c r="H132" s="5" t="s">
        <v>579</v>
      </c>
      <c r="I132" s="8" t="s">
        <v>28</v>
      </c>
      <c r="J132" s="5" t="s">
        <v>466</v>
      </c>
      <c r="K132" s="5"/>
      <c r="L132" s="5"/>
      <c r="M132" s="5"/>
    </row>
    <row r="133" customFormat="false" ht="23.25" hidden="false" customHeight="true" outlineLevel="0" collapsed="false">
      <c r="A133" s="12" t="s">
        <v>462</v>
      </c>
      <c r="B133" s="5" t="n">
        <v>231</v>
      </c>
      <c r="C133" s="6" t="s">
        <v>580</v>
      </c>
      <c r="D133" s="5" t="s">
        <v>581</v>
      </c>
      <c r="E133" s="5" t="s">
        <v>582</v>
      </c>
      <c r="F133" s="5" t="s">
        <v>357</v>
      </c>
      <c r="G133" s="5" t="s">
        <v>17</v>
      </c>
      <c r="H133" s="5" t="s">
        <v>583</v>
      </c>
      <c r="I133" s="9" t="s">
        <v>35</v>
      </c>
      <c r="J133" s="5" t="s">
        <v>466</v>
      </c>
      <c r="K133" s="5" t="s">
        <v>21</v>
      </c>
      <c r="L133" s="5" t="s">
        <v>22</v>
      </c>
      <c r="M133" s="5" t="s">
        <v>22</v>
      </c>
    </row>
    <row r="134" customFormat="false" ht="15" hidden="false" customHeight="true" outlineLevel="0" collapsed="false">
      <c r="A134" s="12" t="s">
        <v>462</v>
      </c>
      <c r="B134" s="5" t="n">
        <v>245</v>
      </c>
      <c r="C134" s="6" t="s">
        <v>584</v>
      </c>
      <c r="D134" s="5" t="s">
        <v>585</v>
      </c>
      <c r="E134" s="5" t="s">
        <v>586</v>
      </c>
      <c r="F134" s="5" t="s">
        <v>170</v>
      </c>
      <c r="G134" s="5" t="s">
        <v>17</v>
      </c>
      <c r="H134" s="5" t="s">
        <v>587</v>
      </c>
      <c r="I134" s="9" t="s">
        <v>35</v>
      </c>
      <c r="J134" s="5" t="s">
        <v>466</v>
      </c>
      <c r="K134" s="5" t="s">
        <v>21</v>
      </c>
      <c r="L134" s="5"/>
      <c r="M134" s="5" t="s">
        <v>42</v>
      </c>
    </row>
    <row r="135" customFormat="false" ht="15" hidden="false" customHeight="true" outlineLevel="0" collapsed="false">
      <c r="A135" s="12" t="s">
        <v>462</v>
      </c>
      <c r="B135" s="5" t="n">
        <v>246</v>
      </c>
      <c r="C135" s="6" t="s">
        <v>588</v>
      </c>
      <c r="D135" s="5" t="s">
        <v>589</v>
      </c>
      <c r="E135" s="5" t="s">
        <v>590</v>
      </c>
      <c r="F135" s="5" t="s">
        <v>228</v>
      </c>
      <c r="G135" s="5" t="s">
        <v>17</v>
      </c>
      <c r="H135" s="5" t="s">
        <v>134</v>
      </c>
      <c r="I135" s="8" t="s">
        <v>28</v>
      </c>
      <c r="J135" s="5" t="s">
        <v>466</v>
      </c>
      <c r="K135" s="5"/>
      <c r="L135" s="5"/>
      <c r="M135" s="5"/>
    </row>
    <row r="136" customFormat="false" ht="15" hidden="false" customHeight="true" outlineLevel="0" collapsed="false">
      <c r="A136" s="12" t="s">
        <v>462</v>
      </c>
      <c r="B136" s="5" t="n">
        <v>250</v>
      </c>
      <c r="C136" s="6" t="s">
        <v>591</v>
      </c>
      <c r="D136" s="5" t="s">
        <v>592</v>
      </c>
      <c r="E136" s="5" t="s">
        <v>593</v>
      </c>
      <c r="F136" s="5" t="s">
        <v>184</v>
      </c>
      <c r="G136" s="5" t="s">
        <v>17</v>
      </c>
      <c r="H136" s="5" t="s">
        <v>594</v>
      </c>
      <c r="I136" s="8" t="s">
        <v>28</v>
      </c>
      <c r="J136" s="5" t="s">
        <v>466</v>
      </c>
      <c r="K136" s="5"/>
      <c r="L136" s="5"/>
      <c r="M136" s="5"/>
    </row>
    <row r="137" customFormat="false" ht="15" hidden="false" customHeight="true" outlineLevel="0" collapsed="false">
      <c r="A137" s="12" t="s">
        <v>462</v>
      </c>
      <c r="B137" s="5" t="n">
        <v>256</v>
      </c>
      <c r="C137" s="6" t="s">
        <v>595</v>
      </c>
      <c r="D137" s="5" t="s">
        <v>596</v>
      </c>
      <c r="E137" s="5" t="s">
        <v>597</v>
      </c>
      <c r="F137" s="5" t="s">
        <v>598</v>
      </c>
      <c r="G137" s="5" t="s">
        <v>17</v>
      </c>
      <c r="H137" s="5" t="s">
        <v>202</v>
      </c>
      <c r="I137" s="9" t="s">
        <v>35</v>
      </c>
      <c r="J137" s="5" t="s">
        <v>466</v>
      </c>
      <c r="K137" s="5"/>
      <c r="L137" s="5"/>
      <c r="M137" s="5"/>
    </row>
    <row r="138" customFormat="false" ht="15" hidden="false" customHeight="true" outlineLevel="0" collapsed="false">
      <c r="A138" s="12" t="s">
        <v>462</v>
      </c>
      <c r="B138" s="5" t="n">
        <v>258</v>
      </c>
      <c r="C138" s="6" t="s">
        <v>599</v>
      </c>
      <c r="D138" s="5" t="s">
        <v>600</v>
      </c>
      <c r="E138" s="5" t="s">
        <v>601</v>
      </c>
      <c r="F138" s="5" t="s">
        <v>602</v>
      </c>
      <c r="G138" s="5" t="s">
        <v>17</v>
      </c>
      <c r="H138" s="5" t="s">
        <v>603</v>
      </c>
      <c r="I138" s="7" t="s">
        <v>19</v>
      </c>
      <c r="J138" s="5" t="s">
        <v>466</v>
      </c>
      <c r="K138" s="5"/>
      <c r="L138" s="5"/>
      <c r="M138" s="5"/>
    </row>
    <row r="139" customFormat="false" ht="15" hidden="false" customHeight="true" outlineLevel="0" collapsed="false">
      <c r="A139" s="12" t="s">
        <v>462</v>
      </c>
      <c r="B139" s="5" t="n">
        <v>265</v>
      </c>
      <c r="C139" s="6" t="s">
        <v>604</v>
      </c>
      <c r="D139" s="5" t="s">
        <v>605</v>
      </c>
      <c r="E139" s="5" t="s">
        <v>606</v>
      </c>
      <c r="F139" s="5" t="s">
        <v>16</v>
      </c>
      <c r="G139" s="5" t="s">
        <v>578</v>
      </c>
      <c r="H139" s="5" t="s">
        <v>607</v>
      </c>
      <c r="I139" s="8" t="s">
        <v>28</v>
      </c>
      <c r="J139" s="5" t="s">
        <v>466</v>
      </c>
      <c r="K139" s="5"/>
      <c r="L139" s="5"/>
      <c r="M139" s="5"/>
    </row>
    <row r="140" customFormat="false" ht="15" hidden="false" customHeight="true" outlineLevel="0" collapsed="false">
      <c r="A140" s="12" t="s">
        <v>462</v>
      </c>
      <c r="B140" s="5" t="n">
        <v>277</v>
      </c>
      <c r="C140" s="6" t="s">
        <v>608</v>
      </c>
      <c r="D140" s="5" t="s">
        <v>609</v>
      </c>
      <c r="E140" s="5" t="s">
        <v>610</v>
      </c>
      <c r="F140" s="5" t="s">
        <v>357</v>
      </c>
      <c r="G140" s="5" t="s">
        <v>17</v>
      </c>
      <c r="H140" s="5" t="s">
        <v>611</v>
      </c>
      <c r="I140" s="9" t="s">
        <v>35</v>
      </c>
      <c r="J140" s="5" t="s">
        <v>466</v>
      </c>
      <c r="K140" s="5"/>
      <c r="L140" s="5"/>
      <c r="M140" s="5"/>
    </row>
    <row r="141" customFormat="false" ht="15" hidden="false" customHeight="true" outlineLevel="0" collapsed="false">
      <c r="A141" s="12" t="s">
        <v>462</v>
      </c>
      <c r="B141" s="5" t="n">
        <v>292</v>
      </c>
      <c r="C141" s="6" t="s">
        <v>612</v>
      </c>
      <c r="D141" s="5" t="s">
        <v>613</v>
      </c>
      <c r="E141" s="5" t="s">
        <v>614</v>
      </c>
      <c r="F141" s="5" t="s">
        <v>615</v>
      </c>
      <c r="G141" s="5" t="s">
        <v>195</v>
      </c>
      <c r="H141" s="5" t="s">
        <v>616</v>
      </c>
      <c r="I141" s="7" t="s">
        <v>19</v>
      </c>
      <c r="J141" s="5" t="s">
        <v>466</v>
      </c>
      <c r="K141" s="5" t="s">
        <v>21</v>
      </c>
      <c r="L141" s="5"/>
      <c r="M141" s="5" t="s">
        <v>42</v>
      </c>
    </row>
    <row r="142" customFormat="false" ht="15" hidden="false" customHeight="true" outlineLevel="0" collapsed="false">
      <c r="A142" s="12" t="s">
        <v>462</v>
      </c>
      <c r="B142" s="5" t="n">
        <v>293</v>
      </c>
      <c r="C142" s="6" t="s">
        <v>617</v>
      </c>
      <c r="D142" s="5" t="s">
        <v>618</v>
      </c>
      <c r="E142" s="5" t="s">
        <v>619</v>
      </c>
      <c r="F142" s="5" t="s">
        <v>620</v>
      </c>
      <c r="G142" s="5" t="s">
        <v>17</v>
      </c>
      <c r="H142" s="5" t="s">
        <v>621</v>
      </c>
      <c r="I142" s="9" t="s">
        <v>35</v>
      </c>
      <c r="J142" s="5" t="s">
        <v>466</v>
      </c>
      <c r="K142" s="5"/>
      <c r="L142" s="5"/>
      <c r="M142" s="5"/>
    </row>
    <row r="143" customFormat="false" ht="15" hidden="false" customHeight="true" outlineLevel="0" collapsed="false">
      <c r="A143" s="12" t="s">
        <v>462</v>
      </c>
      <c r="B143" s="5" t="n">
        <v>302</v>
      </c>
      <c r="C143" s="6" t="s">
        <v>622</v>
      </c>
      <c r="D143" s="5" t="s">
        <v>623</v>
      </c>
      <c r="E143" s="5" t="s">
        <v>624</v>
      </c>
      <c r="F143" s="5" t="s">
        <v>625</v>
      </c>
      <c r="G143" s="5" t="s">
        <v>17</v>
      </c>
      <c r="H143" s="5" t="s">
        <v>566</v>
      </c>
      <c r="I143" s="7" t="s">
        <v>19</v>
      </c>
      <c r="J143" s="5" t="s">
        <v>466</v>
      </c>
      <c r="K143" s="5" t="s">
        <v>21</v>
      </c>
      <c r="L143" s="5"/>
      <c r="M143" s="5" t="s">
        <v>42</v>
      </c>
    </row>
    <row r="144" customFormat="false" ht="15" hidden="false" customHeight="true" outlineLevel="0" collapsed="false">
      <c r="A144" s="12" t="s">
        <v>462</v>
      </c>
      <c r="B144" s="5" t="n">
        <v>305</v>
      </c>
      <c r="C144" s="6" t="s">
        <v>626</v>
      </c>
      <c r="D144" s="5" t="s">
        <v>627</v>
      </c>
      <c r="E144" s="5" t="s">
        <v>95</v>
      </c>
      <c r="F144" s="5" t="s">
        <v>628</v>
      </c>
      <c r="G144" s="5" t="s">
        <v>195</v>
      </c>
      <c r="H144" s="5" t="s">
        <v>629</v>
      </c>
      <c r="I144" s="8" t="s">
        <v>28</v>
      </c>
      <c r="J144" s="5" t="s">
        <v>466</v>
      </c>
      <c r="K144" s="5"/>
      <c r="L144" s="5"/>
      <c r="M144" s="5"/>
    </row>
    <row r="145" customFormat="false" ht="15" hidden="false" customHeight="true" outlineLevel="0" collapsed="false">
      <c r="A145" s="12" t="s">
        <v>462</v>
      </c>
      <c r="B145" s="5" t="n">
        <v>324</v>
      </c>
      <c r="C145" s="6" t="s">
        <v>630</v>
      </c>
      <c r="D145" s="5" t="s">
        <v>631</v>
      </c>
      <c r="E145" s="5" t="s">
        <v>632</v>
      </c>
      <c r="F145" s="5" t="s">
        <v>633</v>
      </c>
      <c r="G145" s="5" t="s">
        <v>17</v>
      </c>
      <c r="H145" s="5" t="s">
        <v>634</v>
      </c>
      <c r="I145" s="7" t="s">
        <v>19</v>
      </c>
      <c r="J145" s="5" t="s">
        <v>466</v>
      </c>
      <c r="K145" s="5"/>
      <c r="L145" s="5"/>
      <c r="M145" s="5"/>
    </row>
    <row r="146" customFormat="false" ht="15" hidden="false" customHeight="true" outlineLevel="0" collapsed="false">
      <c r="A146" s="12" t="s">
        <v>462</v>
      </c>
      <c r="B146" s="5" t="n">
        <v>327</v>
      </c>
      <c r="C146" s="6" t="s">
        <v>635</v>
      </c>
      <c r="D146" s="5" t="s">
        <v>636</v>
      </c>
      <c r="E146" s="5" t="s">
        <v>637</v>
      </c>
      <c r="F146" s="5" t="s">
        <v>638</v>
      </c>
      <c r="G146" s="5" t="s">
        <v>17</v>
      </c>
      <c r="H146" s="5" t="s">
        <v>639</v>
      </c>
      <c r="I146" s="10" t="s">
        <v>56</v>
      </c>
      <c r="J146" s="5" t="s">
        <v>466</v>
      </c>
      <c r="K146" s="5"/>
      <c r="L146" s="5"/>
      <c r="M146" s="5"/>
    </row>
    <row r="147" customFormat="false" ht="15" hidden="false" customHeight="true" outlineLevel="0" collapsed="false">
      <c r="A147" s="12" t="s">
        <v>462</v>
      </c>
      <c r="B147" s="5" t="n">
        <v>330</v>
      </c>
      <c r="C147" s="6" t="s">
        <v>640</v>
      </c>
      <c r="D147" s="5"/>
      <c r="E147" s="5" t="s">
        <v>641</v>
      </c>
      <c r="F147" s="5" t="s">
        <v>642</v>
      </c>
      <c r="G147" s="5" t="s">
        <v>33</v>
      </c>
      <c r="H147" s="5" t="s">
        <v>643</v>
      </c>
      <c r="I147" s="10" t="s">
        <v>56</v>
      </c>
      <c r="J147" s="5" t="s">
        <v>466</v>
      </c>
      <c r="K147" s="5"/>
      <c r="L147" s="5" t="s">
        <v>22</v>
      </c>
      <c r="M147" s="5"/>
    </row>
    <row r="148" customFormat="false" ht="15" hidden="false" customHeight="true" outlineLevel="0" collapsed="false">
      <c r="A148" s="12" t="s">
        <v>462</v>
      </c>
      <c r="B148" s="5" t="n">
        <v>338</v>
      </c>
      <c r="C148" s="6" t="s">
        <v>644</v>
      </c>
      <c r="D148" s="5" t="s">
        <v>645</v>
      </c>
      <c r="E148" s="5" t="s">
        <v>646</v>
      </c>
      <c r="F148" s="5" t="s">
        <v>647</v>
      </c>
      <c r="G148" s="5" t="s">
        <v>17</v>
      </c>
      <c r="H148" s="5" t="s">
        <v>161</v>
      </c>
      <c r="I148" s="10" t="s">
        <v>56</v>
      </c>
      <c r="J148" s="5" t="s">
        <v>466</v>
      </c>
      <c r="K148" s="5" t="s">
        <v>21</v>
      </c>
      <c r="L148" s="5"/>
      <c r="M148" s="5" t="s">
        <v>42</v>
      </c>
    </row>
    <row r="149" customFormat="false" ht="15" hidden="false" customHeight="true" outlineLevel="0" collapsed="false">
      <c r="A149" s="12" t="s">
        <v>462</v>
      </c>
      <c r="B149" s="5" t="n">
        <v>340</v>
      </c>
      <c r="C149" s="6" t="s">
        <v>648</v>
      </c>
      <c r="D149" s="5"/>
      <c r="E149" s="5" t="s">
        <v>91</v>
      </c>
      <c r="F149" s="5" t="s">
        <v>649</v>
      </c>
      <c r="G149" s="5" t="s">
        <v>17</v>
      </c>
      <c r="H149" s="5" t="s">
        <v>603</v>
      </c>
      <c r="I149" s="7" t="s">
        <v>19</v>
      </c>
      <c r="J149" s="5" t="s">
        <v>466</v>
      </c>
      <c r="K149" s="5" t="s">
        <v>21</v>
      </c>
      <c r="L149" s="5"/>
      <c r="M149" s="5" t="s">
        <v>42</v>
      </c>
    </row>
    <row r="150" customFormat="false" ht="15" hidden="false" customHeight="true" outlineLevel="0" collapsed="false">
      <c r="A150" s="12" t="s">
        <v>462</v>
      </c>
      <c r="B150" s="5" t="n">
        <v>343</v>
      </c>
      <c r="C150" s="6" t="s">
        <v>650</v>
      </c>
      <c r="D150" s="5" t="s">
        <v>651</v>
      </c>
      <c r="E150" s="5" t="s">
        <v>652</v>
      </c>
      <c r="F150" s="5" t="s">
        <v>145</v>
      </c>
      <c r="G150" s="5" t="s">
        <v>139</v>
      </c>
      <c r="H150" s="5" t="s">
        <v>139</v>
      </c>
      <c r="I150" s="8" t="s">
        <v>28</v>
      </c>
      <c r="J150" s="5" t="s">
        <v>466</v>
      </c>
      <c r="K150" s="5" t="s">
        <v>21</v>
      </c>
      <c r="L150" s="5"/>
      <c r="M150" s="5" t="s">
        <v>42</v>
      </c>
    </row>
    <row r="151" customFormat="false" ht="15" hidden="false" customHeight="true" outlineLevel="0" collapsed="false">
      <c r="A151" s="12" t="s">
        <v>462</v>
      </c>
      <c r="B151" s="5" t="n">
        <v>345</v>
      </c>
      <c r="C151" s="6" t="s">
        <v>653</v>
      </c>
      <c r="D151" s="5" t="s">
        <v>654</v>
      </c>
      <c r="E151" s="5" t="s">
        <v>655</v>
      </c>
      <c r="F151" s="5" t="s">
        <v>656</v>
      </c>
      <c r="G151" s="5" t="s">
        <v>471</v>
      </c>
      <c r="H151" s="5" t="s">
        <v>472</v>
      </c>
      <c r="I151" s="7" t="s">
        <v>19</v>
      </c>
      <c r="J151" s="5" t="s">
        <v>466</v>
      </c>
      <c r="K151" s="5" t="s">
        <v>21</v>
      </c>
      <c r="L151" s="5"/>
      <c r="M151" s="5" t="s">
        <v>22</v>
      </c>
    </row>
    <row r="152" customFormat="false" ht="15" hidden="false" customHeight="true" outlineLevel="0" collapsed="false">
      <c r="A152" s="13" t="s">
        <v>657</v>
      </c>
      <c r="B152" s="5" t="n">
        <v>5</v>
      </c>
      <c r="C152" s="6" t="s">
        <v>658</v>
      </c>
      <c r="D152" s="5" t="s">
        <v>659</v>
      </c>
      <c r="E152" s="5" t="s">
        <v>95</v>
      </c>
      <c r="F152" s="5" t="s">
        <v>660</v>
      </c>
      <c r="G152" s="5" t="s">
        <v>97</v>
      </c>
      <c r="H152" s="5" t="s">
        <v>562</v>
      </c>
      <c r="I152" s="10" t="s">
        <v>56</v>
      </c>
      <c r="J152" s="5" t="s">
        <v>661</v>
      </c>
      <c r="K152" s="5"/>
      <c r="L152" s="5"/>
      <c r="M152" s="5"/>
    </row>
    <row r="153" customFormat="false" ht="23.25" hidden="false" customHeight="true" outlineLevel="0" collapsed="false">
      <c r="A153" s="13" t="s">
        <v>657</v>
      </c>
      <c r="B153" s="5" t="n">
        <v>7</v>
      </c>
      <c r="C153" s="6" t="s">
        <v>662</v>
      </c>
      <c r="D153" s="5" t="s">
        <v>663</v>
      </c>
      <c r="E153" s="5" t="s">
        <v>664</v>
      </c>
      <c r="F153" s="5" t="s">
        <v>395</v>
      </c>
      <c r="G153" s="5" t="s">
        <v>139</v>
      </c>
      <c r="H153" s="5" t="s">
        <v>139</v>
      </c>
      <c r="I153" s="10" t="s">
        <v>56</v>
      </c>
      <c r="J153" s="5" t="s">
        <v>661</v>
      </c>
      <c r="K153" s="5"/>
      <c r="L153" s="5"/>
      <c r="M153" s="5"/>
    </row>
    <row r="154" customFormat="false" ht="15" hidden="false" customHeight="true" outlineLevel="0" collapsed="false">
      <c r="A154" s="13" t="s">
        <v>657</v>
      </c>
      <c r="B154" s="5" t="n">
        <v>27</v>
      </c>
      <c r="C154" s="6" t="s">
        <v>665</v>
      </c>
      <c r="D154" s="5"/>
      <c r="E154" s="5" t="s">
        <v>666</v>
      </c>
      <c r="F154" s="5" t="s">
        <v>667</v>
      </c>
      <c r="G154" s="5" t="s">
        <v>139</v>
      </c>
      <c r="H154" s="5" t="s">
        <v>139</v>
      </c>
      <c r="I154" s="9" t="s">
        <v>35</v>
      </c>
      <c r="J154" s="5" t="s">
        <v>661</v>
      </c>
      <c r="K154" s="5"/>
      <c r="L154" s="5"/>
      <c r="M154" s="5"/>
    </row>
    <row r="155" customFormat="false" ht="15" hidden="false" customHeight="true" outlineLevel="0" collapsed="false">
      <c r="A155" s="13" t="s">
        <v>657</v>
      </c>
      <c r="B155" s="5" t="n">
        <v>39</v>
      </c>
      <c r="C155" s="6" t="s">
        <v>668</v>
      </c>
      <c r="D155" s="5"/>
      <c r="E155" s="5" t="s">
        <v>624</v>
      </c>
      <c r="F155" s="5" t="s">
        <v>669</v>
      </c>
      <c r="G155" s="5" t="s">
        <v>17</v>
      </c>
      <c r="H155" s="5" t="s">
        <v>566</v>
      </c>
      <c r="I155" s="10" t="s">
        <v>56</v>
      </c>
      <c r="J155" s="5" t="s">
        <v>661</v>
      </c>
      <c r="K155" s="5"/>
      <c r="L155" s="5"/>
      <c r="M155" s="5"/>
    </row>
    <row r="156" customFormat="false" ht="15" hidden="false" customHeight="true" outlineLevel="0" collapsed="false">
      <c r="A156" s="13" t="s">
        <v>657</v>
      </c>
      <c r="B156" s="5" t="n">
        <v>45</v>
      </c>
      <c r="C156" s="6" t="s">
        <v>670</v>
      </c>
      <c r="D156" s="5"/>
      <c r="E156" s="5" t="s">
        <v>671</v>
      </c>
      <c r="F156" s="5" t="s">
        <v>519</v>
      </c>
      <c r="G156" s="5" t="s">
        <v>578</v>
      </c>
      <c r="H156" s="5" t="s">
        <v>672</v>
      </c>
      <c r="I156" s="9" t="s">
        <v>35</v>
      </c>
      <c r="J156" s="5" t="s">
        <v>673</v>
      </c>
      <c r="K156" s="5"/>
      <c r="L156" s="5"/>
      <c r="M156" s="5"/>
    </row>
    <row r="157" customFormat="false" ht="15" hidden="false" customHeight="true" outlineLevel="0" collapsed="false">
      <c r="A157" s="13" t="s">
        <v>657</v>
      </c>
      <c r="B157" s="5" t="n">
        <v>62</v>
      </c>
      <c r="C157" s="6" t="s">
        <v>674</v>
      </c>
      <c r="D157" s="5" t="s">
        <v>675</v>
      </c>
      <c r="E157" s="5" t="s">
        <v>676</v>
      </c>
      <c r="F157" s="5" t="s">
        <v>304</v>
      </c>
      <c r="G157" s="5" t="s">
        <v>17</v>
      </c>
      <c r="H157" s="5" t="s">
        <v>677</v>
      </c>
      <c r="I157" s="10" t="s">
        <v>56</v>
      </c>
      <c r="J157" s="5" t="s">
        <v>661</v>
      </c>
      <c r="K157" s="5"/>
      <c r="L157" s="5"/>
      <c r="M157" s="5"/>
    </row>
    <row r="158" customFormat="false" ht="15" hidden="false" customHeight="true" outlineLevel="0" collapsed="false">
      <c r="A158" s="13" t="s">
        <v>657</v>
      </c>
      <c r="B158" s="5" t="n">
        <v>66</v>
      </c>
      <c r="C158" s="6" t="s">
        <v>678</v>
      </c>
      <c r="D158" s="5"/>
      <c r="E158" s="5" t="s">
        <v>679</v>
      </c>
      <c r="F158" s="5" t="s">
        <v>304</v>
      </c>
      <c r="G158" s="5" t="s">
        <v>17</v>
      </c>
      <c r="H158" s="5" t="s">
        <v>490</v>
      </c>
      <c r="I158" s="9" t="s">
        <v>35</v>
      </c>
      <c r="J158" s="5" t="s">
        <v>661</v>
      </c>
      <c r="K158" s="5"/>
      <c r="L158" s="5"/>
      <c r="M158" s="5"/>
    </row>
    <row r="159" customFormat="false" ht="15" hidden="false" customHeight="true" outlineLevel="0" collapsed="false">
      <c r="A159" s="13" t="s">
        <v>657</v>
      </c>
      <c r="B159" s="5" t="n">
        <v>71</v>
      </c>
      <c r="C159" s="6" t="s">
        <v>680</v>
      </c>
      <c r="D159" s="5"/>
      <c r="E159" s="5" t="s">
        <v>213</v>
      </c>
      <c r="F159" s="5" t="s">
        <v>50</v>
      </c>
      <c r="G159" s="5" t="s">
        <v>17</v>
      </c>
      <c r="H159" s="5" t="s">
        <v>156</v>
      </c>
      <c r="I159" s="8" t="s">
        <v>28</v>
      </c>
      <c r="J159" s="5" t="s">
        <v>661</v>
      </c>
      <c r="K159" s="5" t="s">
        <v>21</v>
      </c>
      <c r="L159" s="5"/>
      <c r="M159" s="5" t="s">
        <v>42</v>
      </c>
    </row>
    <row r="160" customFormat="false" ht="15" hidden="false" customHeight="true" outlineLevel="0" collapsed="false">
      <c r="A160" s="13" t="s">
        <v>657</v>
      </c>
      <c r="B160" s="5" t="n">
        <v>85</v>
      </c>
      <c r="C160" s="6" t="s">
        <v>681</v>
      </c>
      <c r="D160" s="5"/>
      <c r="E160" s="5" t="s">
        <v>169</v>
      </c>
      <c r="F160" s="5" t="s">
        <v>543</v>
      </c>
      <c r="G160" s="5" t="s">
        <v>17</v>
      </c>
      <c r="H160" s="5" t="s">
        <v>682</v>
      </c>
      <c r="I160" s="8" t="s">
        <v>28</v>
      </c>
      <c r="J160" s="5" t="s">
        <v>661</v>
      </c>
      <c r="K160" s="5"/>
      <c r="L160" s="5"/>
      <c r="M160" s="5"/>
    </row>
    <row r="161" customFormat="false" ht="15" hidden="false" customHeight="true" outlineLevel="0" collapsed="false">
      <c r="A161" s="13" t="s">
        <v>657</v>
      </c>
      <c r="B161" s="5" t="n">
        <v>95</v>
      </c>
      <c r="C161" s="6" t="s">
        <v>683</v>
      </c>
      <c r="D161" s="5" t="s">
        <v>684</v>
      </c>
      <c r="E161" s="5" t="s">
        <v>685</v>
      </c>
      <c r="F161" s="5" t="s">
        <v>395</v>
      </c>
      <c r="G161" s="5" t="s">
        <v>17</v>
      </c>
      <c r="H161" s="5" t="s">
        <v>472</v>
      </c>
      <c r="I161" s="9" t="s">
        <v>35</v>
      </c>
      <c r="J161" s="5" t="s">
        <v>661</v>
      </c>
      <c r="K161" s="5" t="s">
        <v>21</v>
      </c>
      <c r="L161" s="5" t="s">
        <v>22</v>
      </c>
      <c r="M161" s="5" t="s">
        <v>22</v>
      </c>
    </row>
    <row r="162" customFormat="false" ht="15" hidden="false" customHeight="true" outlineLevel="0" collapsed="false">
      <c r="A162" s="13" t="s">
        <v>657</v>
      </c>
      <c r="B162" s="5" t="n">
        <v>96</v>
      </c>
      <c r="C162" s="6" t="s">
        <v>686</v>
      </c>
      <c r="D162" s="5" t="s">
        <v>687</v>
      </c>
      <c r="E162" s="5" t="s">
        <v>685</v>
      </c>
      <c r="F162" s="5" t="s">
        <v>201</v>
      </c>
      <c r="G162" s="5" t="s">
        <v>17</v>
      </c>
      <c r="H162" s="5" t="s">
        <v>472</v>
      </c>
      <c r="I162" s="9" t="s">
        <v>35</v>
      </c>
      <c r="J162" s="5" t="s">
        <v>661</v>
      </c>
      <c r="K162" s="5" t="s">
        <v>21</v>
      </c>
      <c r="L162" s="5" t="s">
        <v>22</v>
      </c>
      <c r="M162" s="5" t="s">
        <v>22</v>
      </c>
    </row>
    <row r="163" customFormat="false" ht="15" hidden="false" customHeight="true" outlineLevel="0" collapsed="false">
      <c r="A163" s="13" t="s">
        <v>657</v>
      </c>
      <c r="B163" s="5" t="n">
        <v>100</v>
      </c>
      <c r="C163" s="6" t="s">
        <v>688</v>
      </c>
      <c r="D163" s="5" t="s">
        <v>689</v>
      </c>
      <c r="E163" s="5" t="s">
        <v>95</v>
      </c>
      <c r="F163" s="5" t="s">
        <v>690</v>
      </c>
      <c r="G163" s="5" t="s">
        <v>97</v>
      </c>
      <c r="H163" s="5" t="s">
        <v>412</v>
      </c>
      <c r="I163" s="10" t="s">
        <v>56</v>
      </c>
      <c r="J163" s="5" t="s">
        <v>661</v>
      </c>
      <c r="K163" s="5"/>
      <c r="L163" s="5"/>
      <c r="M163" s="5"/>
    </row>
    <row r="164" customFormat="false" ht="15" hidden="false" customHeight="true" outlineLevel="0" collapsed="false">
      <c r="A164" s="13" t="s">
        <v>657</v>
      </c>
      <c r="B164" s="5" t="n">
        <v>101</v>
      </c>
      <c r="C164" s="6" t="s">
        <v>691</v>
      </c>
      <c r="D164" s="5" t="s">
        <v>692</v>
      </c>
      <c r="E164" s="5" t="s">
        <v>95</v>
      </c>
      <c r="F164" s="5" t="s">
        <v>693</v>
      </c>
      <c r="G164" s="5" t="s">
        <v>97</v>
      </c>
      <c r="H164" s="5" t="s">
        <v>412</v>
      </c>
      <c r="I164" s="9" t="s">
        <v>35</v>
      </c>
      <c r="J164" s="5" t="s">
        <v>661</v>
      </c>
      <c r="K164" s="5"/>
      <c r="L164" s="5"/>
      <c r="M164" s="5"/>
    </row>
    <row r="165" customFormat="false" ht="15" hidden="false" customHeight="true" outlineLevel="0" collapsed="false">
      <c r="A165" s="13" t="s">
        <v>657</v>
      </c>
      <c r="B165" s="5" t="n">
        <v>102</v>
      </c>
      <c r="C165" s="6" t="s">
        <v>694</v>
      </c>
      <c r="D165" s="5" t="s">
        <v>695</v>
      </c>
      <c r="E165" s="5" t="s">
        <v>95</v>
      </c>
      <c r="F165" s="5" t="s">
        <v>696</v>
      </c>
      <c r="G165" s="5" t="s">
        <v>97</v>
      </c>
      <c r="H165" s="5" t="s">
        <v>412</v>
      </c>
      <c r="I165" s="9" t="s">
        <v>35</v>
      </c>
      <c r="J165" s="5" t="s">
        <v>661</v>
      </c>
      <c r="K165" s="5"/>
      <c r="L165" s="5"/>
      <c r="M165" s="5"/>
    </row>
    <row r="166" customFormat="false" ht="15" hidden="false" customHeight="true" outlineLevel="0" collapsed="false">
      <c r="A166" s="13" t="s">
        <v>657</v>
      </c>
      <c r="B166" s="5" t="n">
        <v>108</v>
      </c>
      <c r="C166" s="6" t="s">
        <v>697</v>
      </c>
      <c r="D166" s="5"/>
      <c r="E166" s="5" t="s">
        <v>698</v>
      </c>
      <c r="F166" s="5" t="s">
        <v>357</v>
      </c>
      <c r="G166" s="5" t="s">
        <v>578</v>
      </c>
      <c r="H166" s="5" t="s">
        <v>578</v>
      </c>
      <c r="I166" s="8" t="s">
        <v>28</v>
      </c>
      <c r="J166" s="5" t="s">
        <v>661</v>
      </c>
      <c r="K166" s="5"/>
      <c r="L166" s="5"/>
      <c r="M166" s="5"/>
    </row>
    <row r="167" customFormat="false" ht="15" hidden="false" customHeight="true" outlineLevel="0" collapsed="false">
      <c r="A167" s="13" t="s">
        <v>657</v>
      </c>
      <c r="B167" s="5" t="n">
        <v>119</v>
      </c>
      <c r="C167" s="6" t="s">
        <v>699</v>
      </c>
      <c r="D167" s="5" t="s">
        <v>700</v>
      </c>
      <c r="E167" s="5" t="s">
        <v>701</v>
      </c>
      <c r="F167" s="5" t="s">
        <v>395</v>
      </c>
      <c r="G167" s="5" t="s">
        <v>139</v>
      </c>
      <c r="H167" s="5" t="s">
        <v>702</v>
      </c>
      <c r="I167" s="8" t="s">
        <v>28</v>
      </c>
      <c r="J167" s="5" t="s">
        <v>661</v>
      </c>
      <c r="K167" s="5"/>
      <c r="L167" s="5"/>
      <c r="M167" s="5"/>
    </row>
    <row r="168" customFormat="false" ht="15" hidden="false" customHeight="true" outlineLevel="0" collapsed="false">
      <c r="A168" s="13" t="s">
        <v>657</v>
      </c>
      <c r="B168" s="5" t="n">
        <v>125</v>
      </c>
      <c r="C168" s="6" t="s">
        <v>703</v>
      </c>
      <c r="D168" s="5" t="s">
        <v>704</v>
      </c>
      <c r="E168" s="5" t="s">
        <v>91</v>
      </c>
      <c r="F168" s="5" t="s">
        <v>124</v>
      </c>
      <c r="G168" s="5" t="s">
        <v>17</v>
      </c>
      <c r="H168" s="5" t="s">
        <v>639</v>
      </c>
      <c r="I168" s="8" t="s">
        <v>28</v>
      </c>
      <c r="J168" s="5" t="s">
        <v>661</v>
      </c>
      <c r="K168" s="5"/>
      <c r="L168" s="5"/>
      <c r="M168" s="5"/>
    </row>
    <row r="169" customFormat="false" ht="15" hidden="false" customHeight="true" outlineLevel="0" collapsed="false">
      <c r="A169" s="13" t="s">
        <v>657</v>
      </c>
      <c r="B169" s="5" t="n">
        <v>132</v>
      </c>
      <c r="C169" s="6" t="s">
        <v>705</v>
      </c>
      <c r="D169" s="5" t="s">
        <v>706</v>
      </c>
      <c r="E169" s="5" t="s">
        <v>707</v>
      </c>
      <c r="F169" s="5" t="s">
        <v>395</v>
      </c>
      <c r="G169" s="5" t="s">
        <v>33</v>
      </c>
      <c r="H169" s="5" t="s">
        <v>708</v>
      </c>
      <c r="I169" s="10" t="s">
        <v>56</v>
      </c>
      <c r="J169" s="5" t="s">
        <v>661</v>
      </c>
      <c r="K169" s="5"/>
      <c r="L169" s="5" t="s">
        <v>22</v>
      </c>
      <c r="M169" s="5"/>
    </row>
    <row r="170" customFormat="false" ht="15" hidden="false" customHeight="true" outlineLevel="0" collapsed="false">
      <c r="A170" s="13" t="s">
        <v>657</v>
      </c>
      <c r="B170" s="5" t="n">
        <v>152</v>
      </c>
      <c r="C170" s="6" t="s">
        <v>709</v>
      </c>
      <c r="D170" s="5" t="s">
        <v>710</v>
      </c>
      <c r="E170" s="5" t="s">
        <v>711</v>
      </c>
      <c r="F170" s="5" t="s">
        <v>170</v>
      </c>
      <c r="G170" s="5" t="s">
        <v>578</v>
      </c>
      <c r="H170" s="5" t="s">
        <v>712</v>
      </c>
      <c r="I170" s="8" t="s">
        <v>28</v>
      </c>
      <c r="J170" s="5" t="s">
        <v>661</v>
      </c>
      <c r="K170" s="5"/>
      <c r="L170" s="5"/>
      <c r="M170" s="5"/>
    </row>
    <row r="171" customFormat="false" ht="15" hidden="false" customHeight="true" outlineLevel="0" collapsed="false">
      <c r="A171" s="13" t="s">
        <v>657</v>
      </c>
      <c r="B171" s="5" t="n">
        <v>155</v>
      </c>
      <c r="C171" s="6" t="s">
        <v>713</v>
      </c>
      <c r="D171" s="5"/>
      <c r="E171" s="5" t="s">
        <v>714</v>
      </c>
      <c r="F171" s="5" t="s">
        <v>357</v>
      </c>
      <c r="G171" s="5" t="s">
        <v>17</v>
      </c>
      <c r="H171" s="5" t="s">
        <v>190</v>
      </c>
      <c r="I171" s="9" t="s">
        <v>35</v>
      </c>
      <c r="J171" s="5" t="s">
        <v>661</v>
      </c>
      <c r="K171" s="5"/>
      <c r="L171" s="5"/>
      <c r="M171" s="5"/>
    </row>
    <row r="172" customFormat="false" ht="15" hidden="false" customHeight="true" outlineLevel="0" collapsed="false">
      <c r="A172" s="13" t="s">
        <v>657</v>
      </c>
      <c r="B172" s="5" t="n">
        <v>167</v>
      </c>
      <c r="C172" s="6" t="s">
        <v>715</v>
      </c>
      <c r="D172" s="5"/>
      <c r="E172" s="5" t="s">
        <v>716</v>
      </c>
      <c r="F172" s="5" t="s">
        <v>357</v>
      </c>
      <c r="G172" s="5" t="s">
        <v>17</v>
      </c>
      <c r="H172" s="5" t="s">
        <v>252</v>
      </c>
      <c r="I172" s="8" t="s">
        <v>28</v>
      </c>
      <c r="J172" s="5" t="s">
        <v>661</v>
      </c>
      <c r="K172" s="5"/>
      <c r="L172" s="5"/>
      <c r="M172" s="5"/>
    </row>
    <row r="173" customFormat="false" ht="23.25" hidden="false" customHeight="true" outlineLevel="0" collapsed="false">
      <c r="A173" s="13" t="s">
        <v>657</v>
      </c>
      <c r="B173" s="5" t="n">
        <v>177</v>
      </c>
      <c r="C173" s="6" t="s">
        <v>717</v>
      </c>
      <c r="D173" s="5" t="s">
        <v>718</v>
      </c>
      <c r="E173" s="5" t="s">
        <v>624</v>
      </c>
      <c r="F173" s="5" t="s">
        <v>214</v>
      </c>
      <c r="G173" s="5" t="s">
        <v>103</v>
      </c>
      <c r="H173" s="5" t="s">
        <v>146</v>
      </c>
      <c r="I173" s="10" t="s">
        <v>56</v>
      </c>
      <c r="J173" s="5" t="s">
        <v>661</v>
      </c>
      <c r="K173" s="5"/>
      <c r="L173" s="5"/>
      <c r="M173" s="5"/>
    </row>
    <row r="174" customFormat="false" ht="15" hidden="false" customHeight="true" outlineLevel="0" collapsed="false">
      <c r="A174" s="13" t="s">
        <v>657</v>
      </c>
      <c r="B174" s="5" t="n">
        <v>179</v>
      </c>
      <c r="C174" s="6" t="s">
        <v>719</v>
      </c>
      <c r="D174" s="5" t="s">
        <v>720</v>
      </c>
      <c r="E174" s="5" t="s">
        <v>328</v>
      </c>
      <c r="F174" s="5" t="s">
        <v>386</v>
      </c>
      <c r="G174" s="5" t="s">
        <v>572</v>
      </c>
      <c r="H174" s="5" t="s">
        <v>572</v>
      </c>
      <c r="I174" s="10" t="s">
        <v>56</v>
      </c>
      <c r="J174" s="5" t="s">
        <v>661</v>
      </c>
      <c r="K174" s="5"/>
      <c r="L174" s="5"/>
      <c r="M174" s="5"/>
    </row>
    <row r="175" customFormat="false" ht="15" hidden="false" customHeight="true" outlineLevel="0" collapsed="false">
      <c r="A175" s="13" t="s">
        <v>657</v>
      </c>
      <c r="B175" s="5" t="n">
        <v>184</v>
      </c>
      <c r="C175" s="6" t="s">
        <v>721</v>
      </c>
      <c r="D175" s="5" t="s">
        <v>722</v>
      </c>
      <c r="E175" s="5" t="s">
        <v>45</v>
      </c>
      <c r="F175" s="5" t="s">
        <v>723</v>
      </c>
      <c r="G175" s="5" t="s">
        <v>17</v>
      </c>
      <c r="H175" s="5" t="s">
        <v>724</v>
      </c>
      <c r="I175" s="8" t="s">
        <v>28</v>
      </c>
      <c r="J175" s="5" t="s">
        <v>661</v>
      </c>
      <c r="K175" s="5"/>
      <c r="L175" s="5"/>
      <c r="M175" s="5"/>
    </row>
    <row r="176" customFormat="false" ht="15" hidden="false" customHeight="true" outlineLevel="0" collapsed="false">
      <c r="A176" s="13" t="s">
        <v>657</v>
      </c>
      <c r="B176" s="5" t="n">
        <v>199</v>
      </c>
      <c r="C176" s="6" t="s">
        <v>725</v>
      </c>
      <c r="D176" s="5" t="s">
        <v>726</v>
      </c>
      <c r="E176" s="5" t="s">
        <v>518</v>
      </c>
      <c r="F176" s="5" t="s">
        <v>347</v>
      </c>
      <c r="G176" s="5" t="s">
        <v>33</v>
      </c>
      <c r="H176" s="5" t="s">
        <v>727</v>
      </c>
      <c r="I176" s="8" t="s">
        <v>28</v>
      </c>
      <c r="J176" s="5" t="s">
        <v>661</v>
      </c>
      <c r="K176" s="5"/>
      <c r="L176" s="5"/>
      <c r="M176" s="5"/>
    </row>
    <row r="177" customFormat="false" ht="15" hidden="false" customHeight="true" outlineLevel="0" collapsed="false">
      <c r="A177" s="13" t="s">
        <v>657</v>
      </c>
      <c r="B177" s="5" t="n">
        <v>200</v>
      </c>
      <c r="C177" s="6" t="s">
        <v>728</v>
      </c>
      <c r="D177" s="5" t="s">
        <v>729</v>
      </c>
      <c r="E177" s="5" t="s">
        <v>730</v>
      </c>
      <c r="F177" s="5" t="s">
        <v>307</v>
      </c>
      <c r="G177" s="5" t="s">
        <v>195</v>
      </c>
      <c r="H177" s="5" t="s">
        <v>629</v>
      </c>
      <c r="I177" s="10" t="s">
        <v>56</v>
      </c>
      <c r="J177" s="5" t="s">
        <v>661</v>
      </c>
      <c r="K177" s="5"/>
      <c r="L177" s="5"/>
      <c r="M177" s="5"/>
    </row>
    <row r="178" customFormat="false" ht="15" hidden="false" customHeight="true" outlineLevel="0" collapsed="false">
      <c r="A178" s="13" t="s">
        <v>657</v>
      </c>
      <c r="B178" s="5" t="n">
        <v>214</v>
      </c>
      <c r="C178" s="6" t="s">
        <v>731</v>
      </c>
      <c r="D178" s="5" t="s">
        <v>732</v>
      </c>
      <c r="E178" s="5" t="s">
        <v>496</v>
      </c>
      <c r="F178" s="5" t="s">
        <v>390</v>
      </c>
      <c r="G178" s="5" t="s">
        <v>33</v>
      </c>
      <c r="H178" s="5" t="s">
        <v>733</v>
      </c>
      <c r="I178" s="9" t="s">
        <v>35</v>
      </c>
      <c r="J178" s="5" t="s">
        <v>661</v>
      </c>
      <c r="K178" s="5"/>
      <c r="L178" s="5"/>
      <c r="M178" s="5"/>
    </row>
    <row r="179" customFormat="false" ht="15" hidden="false" customHeight="true" outlineLevel="0" collapsed="false">
      <c r="A179" s="13" t="s">
        <v>657</v>
      </c>
      <c r="B179" s="5" t="n">
        <v>223</v>
      </c>
      <c r="C179" s="6" t="s">
        <v>734</v>
      </c>
      <c r="D179" s="5"/>
      <c r="E179" s="5" t="s">
        <v>735</v>
      </c>
      <c r="F179" s="5" t="s">
        <v>386</v>
      </c>
      <c r="G179" s="5" t="s">
        <v>97</v>
      </c>
      <c r="H179" s="5" t="s">
        <v>146</v>
      </c>
      <c r="I179" s="9" t="s">
        <v>35</v>
      </c>
      <c r="J179" s="5" t="s">
        <v>661</v>
      </c>
      <c r="K179" s="5"/>
      <c r="L179" s="5"/>
      <c r="M179" s="5"/>
    </row>
    <row r="180" customFormat="false" ht="15" hidden="false" customHeight="true" outlineLevel="0" collapsed="false">
      <c r="A180" s="13" t="s">
        <v>657</v>
      </c>
      <c r="B180" s="5" t="n">
        <v>227</v>
      </c>
      <c r="C180" s="6" t="s">
        <v>736</v>
      </c>
      <c r="D180" s="5"/>
      <c r="E180" s="5" t="s">
        <v>737</v>
      </c>
      <c r="F180" s="5" t="s">
        <v>738</v>
      </c>
      <c r="G180" s="5" t="s">
        <v>195</v>
      </c>
      <c r="H180" s="5" t="s">
        <v>739</v>
      </c>
      <c r="I180" s="9" t="s">
        <v>35</v>
      </c>
      <c r="J180" s="5" t="s">
        <v>661</v>
      </c>
      <c r="K180" s="5"/>
      <c r="L180" s="5"/>
      <c r="M180" s="5"/>
    </row>
    <row r="181" customFormat="false" ht="15" hidden="false" customHeight="true" outlineLevel="0" collapsed="false">
      <c r="A181" s="13" t="s">
        <v>657</v>
      </c>
      <c r="B181" s="5" t="n">
        <v>237</v>
      </c>
      <c r="C181" s="6" t="s">
        <v>740</v>
      </c>
      <c r="D181" s="5" t="s">
        <v>741</v>
      </c>
      <c r="E181" s="5" t="s">
        <v>742</v>
      </c>
      <c r="F181" s="5" t="s">
        <v>743</v>
      </c>
      <c r="G181" s="5" t="s">
        <v>109</v>
      </c>
      <c r="H181" s="5" t="s">
        <v>744</v>
      </c>
      <c r="I181" s="8" t="s">
        <v>28</v>
      </c>
      <c r="J181" s="5" t="s">
        <v>661</v>
      </c>
      <c r="K181" s="5"/>
      <c r="L181" s="5"/>
      <c r="M181" s="5"/>
    </row>
    <row r="182" customFormat="false" ht="15" hidden="false" customHeight="true" outlineLevel="0" collapsed="false">
      <c r="A182" s="13" t="s">
        <v>657</v>
      </c>
      <c r="B182" s="5" t="n">
        <v>241</v>
      </c>
      <c r="C182" s="6" t="s">
        <v>745</v>
      </c>
      <c r="D182" s="5" t="s">
        <v>746</v>
      </c>
      <c r="E182" s="5" t="s">
        <v>747</v>
      </c>
      <c r="F182" s="5" t="s">
        <v>357</v>
      </c>
      <c r="G182" s="5" t="s">
        <v>17</v>
      </c>
      <c r="H182" s="5" t="s">
        <v>190</v>
      </c>
      <c r="I182" s="8" t="s">
        <v>28</v>
      </c>
      <c r="J182" s="5" t="s">
        <v>661</v>
      </c>
      <c r="K182" s="5"/>
      <c r="L182" s="5"/>
      <c r="M182" s="5"/>
    </row>
    <row r="183" customFormat="false" ht="15" hidden="false" customHeight="true" outlineLevel="0" collapsed="false">
      <c r="A183" s="13" t="s">
        <v>657</v>
      </c>
      <c r="B183" s="5" t="n">
        <v>242</v>
      </c>
      <c r="C183" s="6" t="s">
        <v>748</v>
      </c>
      <c r="D183" s="5" t="s">
        <v>749</v>
      </c>
      <c r="E183" s="5" t="s">
        <v>750</v>
      </c>
      <c r="F183" s="5" t="s">
        <v>291</v>
      </c>
      <c r="G183" s="5" t="s">
        <v>17</v>
      </c>
      <c r="H183" s="5" t="s">
        <v>751</v>
      </c>
      <c r="I183" s="9" t="s">
        <v>35</v>
      </c>
      <c r="J183" s="5" t="s">
        <v>661</v>
      </c>
      <c r="K183" s="5"/>
      <c r="L183" s="5"/>
      <c r="M183" s="5"/>
    </row>
    <row r="184" customFormat="false" ht="15" hidden="false" customHeight="true" outlineLevel="0" collapsed="false">
      <c r="A184" s="13" t="s">
        <v>657</v>
      </c>
      <c r="B184" s="5" t="n">
        <v>247</v>
      </c>
      <c r="C184" s="6" t="s">
        <v>752</v>
      </c>
      <c r="D184" s="5" t="s">
        <v>753</v>
      </c>
      <c r="E184" s="5" t="s">
        <v>754</v>
      </c>
      <c r="F184" s="5" t="s">
        <v>184</v>
      </c>
      <c r="G184" s="5" t="s">
        <v>17</v>
      </c>
      <c r="H184" s="5" t="s">
        <v>755</v>
      </c>
      <c r="I184" s="8" t="s">
        <v>28</v>
      </c>
      <c r="J184" s="5" t="s">
        <v>661</v>
      </c>
      <c r="K184" s="5"/>
      <c r="L184" s="5"/>
      <c r="M184" s="5"/>
    </row>
    <row r="185" customFormat="false" ht="15" hidden="false" customHeight="true" outlineLevel="0" collapsed="false">
      <c r="A185" s="13" t="s">
        <v>657</v>
      </c>
      <c r="B185" s="5" t="n">
        <v>267</v>
      </c>
      <c r="C185" s="6" t="s">
        <v>756</v>
      </c>
      <c r="D185" s="5" t="s">
        <v>757</v>
      </c>
      <c r="E185" s="5" t="s">
        <v>758</v>
      </c>
      <c r="F185" s="5" t="s">
        <v>347</v>
      </c>
      <c r="G185" s="5" t="s">
        <v>17</v>
      </c>
      <c r="H185" s="5" t="s">
        <v>759</v>
      </c>
      <c r="I185" s="7" t="s">
        <v>19</v>
      </c>
      <c r="J185" s="5" t="s">
        <v>661</v>
      </c>
      <c r="K185" s="5"/>
      <c r="L185" s="5"/>
      <c r="M185" s="5"/>
    </row>
    <row r="186" customFormat="false" ht="15" hidden="false" customHeight="true" outlineLevel="0" collapsed="false">
      <c r="A186" s="13" t="s">
        <v>657</v>
      </c>
      <c r="B186" s="5" t="n">
        <v>268</v>
      </c>
      <c r="C186" s="6" t="s">
        <v>760</v>
      </c>
      <c r="D186" s="5" t="s">
        <v>761</v>
      </c>
      <c r="E186" s="5" t="s">
        <v>762</v>
      </c>
      <c r="F186" s="5" t="s">
        <v>763</v>
      </c>
      <c r="G186" s="5" t="s">
        <v>17</v>
      </c>
      <c r="H186" s="5" t="s">
        <v>71</v>
      </c>
      <c r="I186" s="7" t="s">
        <v>19</v>
      </c>
      <c r="J186" s="5" t="s">
        <v>661</v>
      </c>
      <c r="K186" s="5"/>
      <c r="L186" s="5"/>
      <c r="M186" s="5"/>
    </row>
    <row r="187" customFormat="false" ht="15" hidden="false" customHeight="true" outlineLevel="0" collapsed="false">
      <c r="A187" s="13" t="s">
        <v>657</v>
      </c>
      <c r="B187" s="5" t="n">
        <v>275</v>
      </c>
      <c r="C187" s="6" t="s">
        <v>764</v>
      </c>
      <c r="D187" s="5" t="s">
        <v>765</v>
      </c>
      <c r="E187" s="5" t="s">
        <v>766</v>
      </c>
      <c r="F187" s="5" t="s">
        <v>767</v>
      </c>
      <c r="G187" s="5" t="s">
        <v>17</v>
      </c>
      <c r="H187" s="5" t="s">
        <v>768</v>
      </c>
      <c r="I187" s="8" t="s">
        <v>28</v>
      </c>
      <c r="J187" s="5" t="s">
        <v>661</v>
      </c>
      <c r="K187" s="5"/>
      <c r="L187" s="5"/>
      <c r="M187" s="5"/>
    </row>
    <row r="188" customFormat="false" ht="15" hidden="false" customHeight="true" outlineLevel="0" collapsed="false">
      <c r="A188" s="13" t="s">
        <v>657</v>
      </c>
      <c r="B188" s="5" t="n">
        <v>283</v>
      </c>
      <c r="C188" s="6" t="s">
        <v>769</v>
      </c>
      <c r="D188" s="5" t="s">
        <v>770</v>
      </c>
      <c r="E188" s="5" t="s">
        <v>771</v>
      </c>
      <c r="F188" s="5" t="s">
        <v>155</v>
      </c>
      <c r="G188" s="5" t="s">
        <v>772</v>
      </c>
      <c r="H188" s="5" t="s">
        <v>190</v>
      </c>
      <c r="I188" s="9" t="s">
        <v>35</v>
      </c>
      <c r="J188" s="5" t="s">
        <v>661</v>
      </c>
      <c r="K188" s="5"/>
      <c r="L188" s="5"/>
      <c r="M188" s="5"/>
    </row>
    <row r="189" customFormat="false" ht="15" hidden="false" customHeight="true" outlineLevel="0" collapsed="false">
      <c r="A189" s="13" t="s">
        <v>657</v>
      </c>
      <c r="B189" s="5" t="n">
        <v>285</v>
      </c>
      <c r="C189" s="6" t="s">
        <v>773</v>
      </c>
      <c r="D189" s="5" t="s">
        <v>774</v>
      </c>
      <c r="E189" s="5" t="s">
        <v>775</v>
      </c>
      <c r="F189" s="5" t="s">
        <v>486</v>
      </c>
      <c r="G189" s="5" t="s">
        <v>17</v>
      </c>
      <c r="H189" s="5" t="s">
        <v>190</v>
      </c>
      <c r="I189" s="9" t="s">
        <v>35</v>
      </c>
      <c r="J189" s="5" t="s">
        <v>661</v>
      </c>
      <c r="K189" s="5"/>
      <c r="L189" s="5" t="s">
        <v>22</v>
      </c>
      <c r="M189" s="5"/>
    </row>
    <row r="190" customFormat="false" ht="15" hidden="false" customHeight="true" outlineLevel="0" collapsed="false">
      <c r="A190" s="13" t="s">
        <v>657</v>
      </c>
      <c r="B190" s="5" t="n">
        <v>287</v>
      </c>
      <c r="C190" s="6" t="s">
        <v>776</v>
      </c>
      <c r="D190" s="5"/>
      <c r="E190" s="5" t="s">
        <v>518</v>
      </c>
      <c r="F190" s="5" t="s">
        <v>569</v>
      </c>
      <c r="G190" s="5" t="s">
        <v>33</v>
      </c>
      <c r="H190" s="5" t="s">
        <v>777</v>
      </c>
      <c r="I190" s="9" t="s">
        <v>35</v>
      </c>
      <c r="J190" s="5" t="s">
        <v>363</v>
      </c>
      <c r="K190" s="5"/>
      <c r="L190" s="5"/>
      <c r="M190" s="5"/>
    </row>
    <row r="191" customFormat="false" ht="23.25" hidden="false" customHeight="true" outlineLevel="0" collapsed="false">
      <c r="A191" s="13" t="s">
        <v>657</v>
      </c>
      <c r="B191" s="5" t="n">
        <v>295</v>
      </c>
      <c r="C191" s="6" t="s">
        <v>778</v>
      </c>
      <c r="D191" s="5" t="s">
        <v>779</v>
      </c>
      <c r="E191" s="5" t="s">
        <v>415</v>
      </c>
      <c r="F191" s="5" t="s">
        <v>780</v>
      </c>
      <c r="G191" s="5" t="s">
        <v>17</v>
      </c>
      <c r="H191" s="5" t="s">
        <v>416</v>
      </c>
      <c r="I191" s="10" t="s">
        <v>56</v>
      </c>
      <c r="J191" s="5" t="s">
        <v>781</v>
      </c>
      <c r="K191" s="5" t="s">
        <v>21</v>
      </c>
      <c r="L191" s="5" t="s">
        <v>22</v>
      </c>
      <c r="M191" s="5" t="s">
        <v>42</v>
      </c>
    </row>
    <row r="192" customFormat="false" ht="15" hidden="false" customHeight="true" outlineLevel="0" collapsed="false">
      <c r="A192" s="13" t="s">
        <v>657</v>
      </c>
      <c r="B192" s="5" t="n">
        <v>300</v>
      </c>
      <c r="C192" s="6" t="s">
        <v>782</v>
      </c>
      <c r="D192" s="5" t="s">
        <v>783</v>
      </c>
      <c r="E192" s="5" t="s">
        <v>784</v>
      </c>
      <c r="F192" s="5" t="s">
        <v>347</v>
      </c>
      <c r="G192" s="5" t="s">
        <v>17</v>
      </c>
      <c r="H192" s="5" t="s">
        <v>190</v>
      </c>
      <c r="I192" s="8" t="s">
        <v>28</v>
      </c>
      <c r="J192" s="5" t="s">
        <v>661</v>
      </c>
      <c r="K192" s="5"/>
      <c r="L192" s="5"/>
      <c r="M192" s="5"/>
    </row>
    <row r="193" customFormat="false" ht="15" hidden="false" customHeight="true" outlineLevel="0" collapsed="false">
      <c r="A193" s="13" t="s">
        <v>657</v>
      </c>
      <c r="B193" s="5" t="n">
        <v>308</v>
      </c>
      <c r="C193" s="6" t="s">
        <v>785</v>
      </c>
      <c r="D193" s="5" t="s">
        <v>786</v>
      </c>
      <c r="E193" s="5" t="s">
        <v>787</v>
      </c>
      <c r="F193" s="5" t="s">
        <v>357</v>
      </c>
      <c r="G193" s="5" t="s">
        <v>17</v>
      </c>
      <c r="H193" s="5" t="s">
        <v>788</v>
      </c>
      <c r="I193" s="9" t="s">
        <v>35</v>
      </c>
      <c r="J193" s="5" t="s">
        <v>661</v>
      </c>
      <c r="K193" s="5"/>
      <c r="L193" s="5"/>
      <c r="M193" s="5"/>
    </row>
    <row r="194" customFormat="false" ht="15" hidden="false" customHeight="true" outlineLevel="0" collapsed="false">
      <c r="A194" s="13" t="s">
        <v>657</v>
      </c>
      <c r="B194" s="5" t="n">
        <v>309</v>
      </c>
      <c r="C194" s="6" t="s">
        <v>789</v>
      </c>
      <c r="D194" s="5" t="s">
        <v>790</v>
      </c>
      <c r="E194" s="5" t="s">
        <v>95</v>
      </c>
      <c r="F194" s="5" t="s">
        <v>791</v>
      </c>
      <c r="G194" s="5" t="s">
        <v>97</v>
      </c>
      <c r="H194" s="5" t="s">
        <v>412</v>
      </c>
      <c r="I194" s="7" t="s">
        <v>19</v>
      </c>
      <c r="J194" s="5" t="s">
        <v>661</v>
      </c>
      <c r="K194" s="5"/>
      <c r="L194" s="5"/>
      <c r="M194" s="5"/>
    </row>
    <row r="195" customFormat="false" ht="15" hidden="false" customHeight="true" outlineLevel="0" collapsed="false">
      <c r="A195" s="13" t="s">
        <v>657</v>
      </c>
      <c r="B195" s="5" t="n">
        <v>317</v>
      </c>
      <c r="C195" s="6" t="s">
        <v>792</v>
      </c>
      <c r="D195" s="5"/>
      <c r="E195" s="5" t="s">
        <v>793</v>
      </c>
      <c r="F195" s="5" t="s">
        <v>165</v>
      </c>
      <c r="G195" s="5" t="s">
        <v>17</v>
      </c>
      <c r="H195" s="5" t="s">
        <v>190</v>
      </c>
      <c r="I195" s="10" t="s">
        <v>56</v>
      </c>
      <c r="J195" s="5" t="s">
        <v>661</v>
      </c>
      <c r="K195" s="5"/>
      <c r="L195" s="5"/>
      <c r="M195" s="5"/>
    </row>
    <row r="196" customFormat="false" ht="23.25" hidden="false" customHeight="true" outlineLevel="0" collapsed="false">
      <c r="A196" s="13" t="s">
        <v>657</v>
      </c>
      <c r="B196" s="5" t="n">
        <v>318</v>
      </c>
      <c r="C196" s="6" t="s">
        <v>794</v>
      </c>
      <c r="D196" s="5"/>
      <c r="E196" s="5" t="s">
        <v>795</v>
      </c>
      <c r="F196" s="5" t="s">
        <v>796</v>
      </c>
      <c r="G196" s="5" t="s">
        <v>17</v>
      </c>
      <c r="H196" s="5" t="s">
        <v>797</v>
      </c>
      <c r="I196" s="7" t="s">
        <v>19</v>
      </c>
      <c r="J196" s="5" t="s">
        <v>661</v>
      </c>
      <c r="K196" s="5"/>
      <c r="L196" s="5"/>
      <c r="M196" s="5"/>
    </row>
    <row r="197" customFormat="false" ht="15" hidden="false" customHeight="true" outlineLevel="0" collapsed="false">
      <c r="A197" s="13" t="s">
        <v>657</v>
      </c>
      <c r="B197" s="5" t="n">
        <v>319</v>
      </c>
      <c r="C197" s="6" t="s">
        <v>798</v>
      </c>
      <c r="D197" s="5" t="s">
        <v>799</v>
      </c>
      <c r="E197" s="5" t="s">
        <v>174</v>
      </c>
      <c r="F197" s="5" t="s">
        <v>145</v>
      </c>
      <c r="G197" s="5" t="s">
        <v>17</v>
      </c>
      <c r="H197" s="5" t="s">
        <v>146</v>
      </c>
      <c r="I197" s="8" t="s">
        <v>28</v>
      </c>
      <c r="J197" s="5" t="s">
        <v>661</v>
      </c>
      <c r="K197" s="5"/>
      <c r="L197" s="5"/>
      <c r="M197" s="5"/>
    </row>
    <row r="198" customFormat="false" ht="15" hidden="false" customHeight="true" outlineLevel="0" collapsed="false">
      <c r="A198" s="13" t="s">
        <v>657</v>
      </c>
      <c r="B198" s="5" t="n">
        <v>325</v>
      </c>
      <c r="C198" s="6" t="s">
        <v>800</v>
      </c>
      <c r="D198" s="5"/>
      <c r="E198" s="5" t="s">
        <v>801</v>
      </c>
      <c r="F198" s="5" t="s">
        <v>347</v>
      </c>
      <c r="G198" s="5" t="s">
        <v>17</v>
      </c>
      <c r="H198" s="5" t="s">
        <v>336</v>
      </c>
      <c r="I198" s="9" t="s">
        <v>35</v>
      </c>
      <c r="J198" s="5" t="s">
        <v>661</v>
      </c>
      <c r="K198" s="5"/>
      <c r="L198" s="5"/>
      <c r="M198" s="5"/>
    </row>
    <row r="199" customFormat="false" ht="15" hidden="false" customHeight="true" outlineLevel="0" collapsed="false">
      <c r="A199" s="13" t="s">
        <v>657</v>
      </c>
      <c r="B199" s="5" t="n">
        <v>336</v>
      </c>
      <c r="C199" s="6" t="s">
        <v>802</v>
      </c>
      <c r="D199" s="5" t="s">
        <v>803</v>
      </c>
      <c r="E199" s="5" t="s">
        <v>804</v>
      </c>
      <c r="F199" s="5" t="s">
        <v>347</v>
      </c>
      <c r="G199" s="5" t="s">
        <v>17</v>
      </c>
      <c r="H199" s="5" t="s">
        <v>252</v>
      </c>
      <c r="I199" s="10" t="s">
        <v>56</v>
      </c>
      <c r="J199" s="5" t="s">
        <v>661</v>
      </c>
      <c r="K199" s="5"/>
      <c r="L199" s="5"/>
      <c r="M199" s="5"/>
    </row>
    <row r="200" customFormat="false" ht="15" hidden="false" customHeight="true" outlineLevel="0" collapsed="false">
      <c r="A200" s="13" t="s">
        <v>657</v>
      </c>
      <c r="B200" s="5" t="n">
        <v>342</v>
      </c>
      <c r="C200" s="6" t="s">
        <v>805</v>
      </c>
      <c r="D200" s="5" t="s">
        <v>806</v>
      </c>
      <c r="E200" s="5" t="s">
        <v>91</v>
      </c>
      <c r="F200" s="5" t="s">
        <v>470</v>
      </c>
      <c r="G200" s="5" t="s">
        <v>17</v>
      </c>
      <c r="H200" s="5" t="s">
        <v>639</v>
      </c>
      <c r="I200" s="9" t="s">
        <v>35</v>
      </c>
      <c r="J200" s="5" t="s">
        <v>661</v>
      </c>
      <c r="K200" s="5"/>
      <c r="L200" s="5"/>
      <c r="M200" s="5"/>
    </row>
    <row r="201" customFormat="false" ht="23.25" hidden="false" customHeight="true" outlineLevel="0" collapsed="false">
      <c r="A201" s="13" t="s">
        <v>657</v>
      </c>
      <c r="B201" s="5" t="n">
        <v>350</v>
      </c>
      <c r="C201" s="6" t="s">
        <v>807</v>
      </c>
      <c r="D201" s="5" t="s">
        <v>808</v>
      </c>
      <c r="E201" s="5" t="s">
        <v>809</v>
      </c>
      <c r="F201" s="5" t="s">
        <v>519</v>
      </c>
      <c r="G201" s="5" t="s">
        <v>17</v>
      </c>
      <c r="H201" s="5" t="s">
        <v>472</v>
      </c>
      <c r="I201" s="9" t="s">
        <v>35</v>
      </c>
      <c r="J201" s="5" t="s">
        <v>661</v>
      </c>
      <c r="K201" s="5"/>
      <c r="L201" s="5"/>
      <c r="M201" s="5"/>
    </row>
    <row r="202" customFormat="false" ht="23.25" hidden="false" customHeight="true" outlineLevel="0" collapsed="false">
      <c r="A202" s="14" t="s">
        <v>810</v>
      </c>
      <c r="B202" s="5" t="n">
        <v>29</v>
      </c>
      <c r="C202" s="6" t="s">
        <v>811</v>
      </c>
      <c r="D202" s="5" t="s">
        <v>812</v>
      </c>
      <c r="E202" s="5" t="s">
        <v>813</v>
      </c>
      <c r="F202" s="5" t="s">
        <v>814</v>
      </c>
      <c r="G202" s="5" t="s">
        <v>33</v>
      </c>
      <c r="H202" s="5" t="s">
        <v>34</v>
      </c>
      <c r="I202" s="9" t="s">
        <v>35</v>
      </c>
      <c r="J202" s="5" t="s">
        <v>815</v>
      </c>
      <c r="K202" s="5"/>
      <c r="L202" s="5"/>
      <c r="M202" s="5"/>
    </row>
    <row r="203" customFormat="false" ht="15" hidden="false" customHeight="true" outlineLevel="0" collapsed="false">
      <c r="A203" s="14" t="s">
        <v>810</v>
      </c>
      <c r="B203" s="5" t="n">
        <v>34</v>
      </c>
      <c r="C203" s="6" t="s">
        <v>816</v>
      </c>
      <c r="D203" s="5"/>
      <c r="E203" s="5" t="s">
        <v>817</v>
      </c>
      <c r="F203" s="5" t="s">
        <v>818</v>
      </c>
      <c r="G203" s="5" t="s">
        <v>33</v>
      </c>
      <c r="H203" s="5" t="s">
        <v>34</v>
      </c>
      <c r="I203" s="9" t="s">
        <v>35</v>
      </c>
      <c r="J203" s="5" t="s">
        <v>815</v>
      </c>
      <c r="K203" s="5"/>
      <c r="L203" s="5"/>
      <c r="M203" s="5"/>
    </row>
    <row r="204" customFormat="false" ht="15" hidden="false" customHeight="true" outlineLevel="0" collapsed="false">
      <c r="A204" s="14" t="s">
        <v>810</v>
      </c>
      <c r="B204" s="5" t="n">
        <v>41</v>
      </c>
      <c r="C204" s="6" t="s">
        <v>819</v>
      </c>
      <c r="D204" s="5" t="s">
        <v>820</v>
      </c>
      <c r="E204" s="5" t="s">
        <v>821</v>
      </c>
      <c r="F204" s="5" t="s">
        <v>271</v>
      </c>
      <c r="G204" s="5" t="s">
        <v>471</v>
      </c>
      <c r="H204" s="5" t="s">
        <v>472</v>
      </c>
      <c r="I204" s="7" t="s">
        <v>19</v>
      </c>
      <c r="J204" s="5" t="s">
        <v>815</v>
      </c>
      <c r="K204" s="5" t="s">
        <v>21</v>
      </c>
      <c r="L204" s="5" t="s">
        <v>22</v>
      </c>
      <c r="M204" s="5" t="s">
        <v>42</v>
      </c>
    </row>
    <row r="205" customFormat="false" ht="15" hidden="false" customHeight="true" outlineLevel="0" collapsed="false">
      <c r="A205" s="14" t="s">
        <v>810</v>
      </c>
      <c r="B205" s="5" t="n">
        <v>42</v>
      </c>
      <c r="C205" s="6" t="s">
        <v>822</v>
      </c>
      <c r="D205" s="5" t="s">
        <v>823</v>
      </c>
      <c r="E205" s="5" t="s">
        <v>824</v>
      </c>
      <c r="F205" s="5" t="s">
        <v>455</v>
      </c>
      <c r="G205" s="5" t="s">
        <v>471</v>
      </c>
      <c r="H205" s="5" t="s">
        <v>471</v>
      </c>
      <c r="I205" s="8" t="s">
        <v>28</v>
      </c>
      <c r="J205" s="5" t="s">
        <v>815</v>
      </c>
      <c r="K205" s="5"/>
      <c r="L205" s="5" t="s">
        <v>22</v>
      </c>
      <c r="M205" s="5"/>
    </row>
    <row r="206" customFormat="false" ht="15" hidden="false" customHeight="true" outlineLevel="0" collapsed="false">
      <c r="A206" s="14" t="s">
        <v>810</v>
      </c>
      <c r="B206" s="5" t="n">
        <v>43</v>
      </c>
      <c r="C206" s="6" t="s">
        <v>825</v>
      </c>
      <c r="D206" s="5"/>
      <c r="E206" s="5" t="s">
        <v>624</v>
      </c>
      <c r="F206" s="5" t="s">
        <v>532</v>
      </c>
      <c r="G206" s="5" t="s">
        <v>17</v>
      </c>
      <c r="H206" s="5" t="s">
        <v>566</v>
      </c>
      <c r="I206" s="9" t="s">
        <v>35</v>
      </c>
      <c r="J206" s="5" t="s">
        <v>815</v>
      </c>
      <c r="K206" s="5" t="s">
        <v>21</v>
      </c>
      <c r="L206" s="5"/>
      <c r="M206" s="5" t="s">
        <v>42</v>
      </c>
    </row>
    <row r="207" customFormat="false" ht="15" hidden="false" customHeight="true" outlineLevel="0" collapsed="false">
      <c r="A207" s="14" t="s">
        <v>810</v>
      </c>
      <c r="B207" s="5" t="n">
        <v>48</v>
      </c>
      <c r="C207" s="6" t="s">
        <v>826</v>
      </c>
      <c r="D207" s="5"/>
      <c r="E207" s="5" t="s">
        <v>624</v>
      </c>
      <c r="F207" s="5" t="s">
        <v>738</v>
      </c>
      <c r="G207" s="5" t="s">
        <v>17</v>
      </c>
      <c r="H207" s="5" t="s">
        <v>566</v>
      </c>
      <c r="I207" s="8" t="s">
        <v>28</v>
      </c>
      <c r="J207" s="5" t="s">
        <v>815</v>
      </c>
      <c r="K207" s="5"/>
      <c r="L207" s="5"/>
      <c r="M207" s="5"/>
    </row>
    <row r="208" customFormat="false" ht="15" hidden="false" customHeight="true" outlineLevel="0" collapsed="false">
      <c r="A208" s="14" t="s">
        <v>810</v>
      </c>
      <c r="B208" s="5" t="n">
        <v>59</v>
      </c>
      <c r="C208" s="6" t="s">
        <v>827</v>
      </c>
      <c r="D208" s="5" t="s">
        <v>828</v>
      </c>
      <c r="E208" s="5" t="s">
        <v>829</v>
      </c>
      <c r="F208" s="5" t="s">
        <v>50</v>
      </c>
      <c r="G208" s="5" t="s">
        <v>97</v>
      </c>
      <c r="H208" s="5" t="s">
        <v>146</v>
      </c>
      <c r="I208" s="10" t="s">
        <v>56</v>
      </c>
      <c r="J208" s="5" t="s">
        <v>815</v>
      </c>
      <c r="K208" s="5"/>
      <c r="L208" s="5"/>
      <c r="M208" s="5"/>
    </row>
    <row r="209" customFormat="false" ht="15" hidden="false" customHeight="true" outlineLevel="0" collapsed="false">
      <c r="A209" s="14" t="s">
        <v>810</v>
      </c>
      <c r="B209" s="5" t="n">
        <v>69</v>
      </c>
      <c r="C209" s="6" t="s">
        <v>830</v>
      </c>
      <c r="D209" s="5" t="s">
        <v>831</v>
      </c>
      <c r="E209" s="5" t="s">
        <v>832</v>
      </c>
      <c r="F209" s="5" t="s">
        <v>833</v>
      </c>
      <c r="G209" s="5" t="s">
        <v>834</v>
      </c>
      <c r="H209" s="5" t="s">
        <v>834</v>
      </c>
      <c r="I209" s="7" t="s">
        <v>19</v>
      </c>
      <c r="J209" s="5" t="s">
        <v>815</v>
      </c>
      <c r="K209" s="5"/>
      <c r="L209" s="5"/>
      <c r="M209" s="5"/>
    </row>
    <row r="210" customFormat="false" ht="15" hidden="false" customHeight="true" outlineLevel="0" collapsed="false">
      <c r="A210" s="14" t="s">
        <v>810</v>
      </c>
      <c r="B210" s="5" t="n">
        <v>79</v>
      </c>
      <c r="C210" s="6" t="s">
        <v>835</v>
      </c>
      <c r="D210" s="5"/>
      <c r="E210" s="5" t="s">
        <v>450</v>
      </c>
      <c r="F210" s="5" t="s">
        <v>205</v>
      </c>
      <c r="G210" s="5" t="s">
        <v>17</v>
      </c>
      <c r="H210" s="5" t="s">
        <v>836</v>
      </c>
      <c r="I210" s="7" t="s">
        <v>19</v>
      </c>
      <c r="J210" s="5" t="s">
        <v>837</v>
      </c>
      <c r="K210" s="5"/>
      <c r="L210" s="5"/>
      <c r="M210" s="5"/>
    </row>
    <row r="211" customFormat="false" ht="15" hidden="false" customHeight="true" outlineLevel="0" collapsed="false">
      <c r="A211" s="14" t="s">
        <v>810</v>
      </c>
      <c r="B211" s="5" t="n">
        <v>86</v>
      </c>
      <c r="C211" s="6" t="s">
        <v>838</v>
      </c>
      <c r="D211" s="5" t="s">
        <v>839</v>
      </c>
      <c r="E211" s="5" t="s">
        <v>840</v>
      </c>
      <c r="F211" s="5" t="s">
        <v>841</v>
      </c>
      <c r="G211" s="5" t="s">
        <v>33</v>
      </c>
      <c r="H211" s="5" t="s">
        <v>842</v>
      </c>
      <c r="I211" s="9" t="s">
        <v>35</v>
      </c>
      <c r="J211" s="5" t="s">
        <v>815</v>
      </c>
      <c r="K211" s="5"/>
      <c r="L211" s="5"/>
      <c r="M211" s="5"/>
    </row>
    <row r="212" customFormat="false" ht="23.25" hidden="false" customHeight="true" outlineLevel="0" collapsed="false">
      <c r="A212" s="14" t="s">
        <v>810</v>
      </c>
      <c r="B212" s="5" t="n">
        <v>99</v>
      </c>
      <c r="C212" s="6" t="s">
        <v>843</v>
      </c>
      <c r="D212" s="5" t="s">
        <v>844</v>
      </c>
      <c r="E212" s="5" t="s">
        <v>845</v>
      </c>
      <c r="F212" s="5" t="s">
        <v>669</v>
      </c>
      <c r="G212" s="5" t="s">
        <v>109</v>
      </c>
      <c r="H212" s="5" t="s">
        <v>846</v>
      </c>
      <c r="I212" s="8" t="s">
        <v>28</v>
      </c>
      <c r="J212" s="5" t="s">
        <v>815</v>
      </c>
      <c r="K212" s="5"/>
      <c r="L212" s="5"/>
      <c r="M212" s="5"/>
    </row>
    <row r="213" customFormat="false" ht="15" hidden="false" customHeight="true" outlineLevel="0" collapsed="false">
      <c r="A213" s="14" t="s">
        <v>810</v>
      </c>
      <c r="B213" s="5" t="n">
        <v>104</v>
      </c>
      <c r="C213" s="6" t="s">
        <v>847</v>
      </c>
      <c r="D213" s="5"/>
      <c r="E213" s="5" t="s">
        <v>707</v>
      </c>
      <c r="F213" s="5" t="s">
        <v>201</v>
      </c>
      <c r="G213" s="5" t="s">
        <v>578</v>
      </c>
      <c r="H213" s="5" t="s">
        <v>708</v>
      </c>
      <c r="I213" s="7" t="s">
        <v>19</v>
      </c>
      <c r="J213" s="5" t="s">
        <v>815</v>
      </c>
      <c r="K213" s="5"/>
      <c r="L213" s="5"/>
      <c r="M213" s="5"/>
    </row>
    <row r="214" customFormat="false" ht="15" hidden="false" customHeight="true" outlineLevel="0" collapsed="false">
      <c r="A214" s="14" t="s">
        <v>810</v>
      </c>
      <c r="B214" s="5" t="n">
        <v>113</v>
      </c>
      <c r="C214" s="6" t="s">
        <v>848</v>
      </c>
      <c r="D214" s="5" t="s">
        <v>849</v>
      </c>
      <c r="E214" s="5" t="s">
        <v>850</v>
      </c>
      <c r="F214" s="5" t="s">
        <v>780</v>
      </c>
      <c r="G214" s="5" t="s">
        <v>97</v>
      </c>
      <c r="H214" s="5" t="s">
        <v>851</v>
      </c>
      <c r="I214" s="8" t="s">
        <v>28</v>
      </c>
      <c r="J214" s="5" t="s">
        <v>815</v>
      </c>
      <c r="K214" s="5"/>
      <c r="L214" s="5"/>
      <c r="M214" s="5"/>
    </row>
    <row r="215" customFormat="false" ht="15" hidden="false" customHeight="true" outlineLevel="0" collapsed="false">
      <c r="A215" s="14" t="s">
        <v>810</v>
      </c>
      <c r="B215" s="5" t="n">
        <v>139</v>
      </c>
      <c r="C215" s="6" t="s">
        <v>852</v>
      </c>
      <c r="D215" s="5"/>
      <c r="E215" s="5" t="s">
        <v>853</v>
      </c>
      <c r="F215" s="5" t="s">
        <v>854</v>
      </c>
      <c r="G215" s="5" t="s">
        <v>139</v>
      </c>
      <c r="H215" s="5" t="s">
        <v>139</v>
      </c>
      <c r="I215" s="7" t="s">
        <v>19</v>
      </c>
      <c r="J215" s="5" t="s">
        <v>815</v>
      </c>
      <c r="K215" s="5"/>
      <c r="L215" s="5"/>
      <c r="M215" s="5"/>
    </row>
    <row r="216" customFormat="false" ht="23.25" hidden="false" customHeight="true" outlineLevel="0" collapsed="false">
      <c r="A216" s="14" t="s">
        <v>810</v>
      </c>
      <c r="B216" s="5" t="n">
        <v>141</v>
      </c>
      <c r="C216" s="6" t="s">
        <v>855</v>
      </c>
      <c r="D216" s="5" t="s">
        <v>856</v>
      </c>
      <c r="E216" s="5" t="s">
        <v>857</v>
      </c>
      <c r="F216" s="5" t="s">
        <v>55</v>
      </c>
      <c r="G216" s="5" t="s">
        <v>17</v>
      </c>
      <c r="H216" s="5" t="s">
        <v>858</v>
      </c>
      <c r="I216" s="8" t="s">
        <v>28</v>
      </c>
      <c r="J216" s="5" t="s">
        <v>815</v>
      </c>
      <c r="K216" s="5"/>
      <c r="L216" s="5"/>
      <c r="M216" s="5"/>
    </row>
    <row r="217" customFormat="false" ht="15" hidden="false" customHeight="true" outlineLevel="0" collapsed="false">
      <c r="A217" s="14" t="s">
        <v>810</v>
      </c>
      <c r="B217" s="5" t="n">
        <v>145</v>
      </c>
      <c r="C217" s="6" t="s">
        <v>859</v>
      </c>
      <c r="D217" s="5" t="s">
        <v>860</v>
      </c>
      <c r="E217" s="5" t="s">
        <v>861</v>
      </c>
      <c r="F217" s="5" t="s">
        <v>569</v>
      </c>
      <c r="G217" s="5" t="s">
        <v>17</v>
      </c>
      <c r="H217" s="5" t="s">
        <v>202</v>
      </c>
      <c r="I217" s="9" t="s">
        <v>35</v>
      </c>
      <c r="J217" s="5" t="s">
        <v>815</v>
      </c>
      <c r="K217" s="5"/>
      <c r="L217" s="5"/>
      <c r="M217" s="5"/>
    </row>
    <row r="218" customFormat="false" ht="15" hidden="false" customHeight="true" outlineLevel="0" collapsed="false">
      <c r="A218" s="14" t="s">
        <v>810</v>
      </c>
      <c r="B218" s="5" t="n">
        <v>148</v>
      </c>
      <c r="C218" s="6" t="s">
        <v>862</v>
      </c>
      <c r="D218" s="5"/>
      <c r="E218" s="5" t="s">
        <v>863</v>
      </c>
      <c r="F218" s="5" t="s">
        <v>441</v>
      </c>
      <c r="G218" s="5" t="s">
        <v>195</v>
      </c>
      <c r="H218" s="5" t="s">
        <v>195</v>
      </c>
      <c r="I218" s="10" t="s">
        <v>56</v>
      </c>
      <c r="J218" s="5" t="s">
        <v>815</v>
      </c>
      <c r="K218" s="5"/>
      <c r="L218" s="5"/>
      <c r="M218" s="5"/>
    </row>
    <row r="219" customFormat="false" ht="15" hidden="false" customHeight="true" outlineLevel="0" collapsed="false">
      <c r="A219" s="14" t="s">
        <v>810</v>
      </c>
      <c r="B219" s="5" t="n">
        <v>149</v>
      </c>
      <c r="C219" s="6" t="s">
        <v>864</v>
      </c>
      <c r="D219" s="5" t="s">
        <v>865</v>
      </c>
      <c r="E219" s="5" t="s">
        <v>866</v>
      </c>
      <c r="F219" s="5" t="s">
        <v>304</v>
      </c>
      <c r="G219" s="5" t="s">
        <v>109</v>
      </c>
      <c r="H219" s="5" t="s">
        <v>867</v>
      </c>
      <c r="I219" s="8" t="s">
        <v>28</v>
      </c>
      <c r="J219" s="5" t="s">
        <v>815</v>
      </c>
      <c r="K219" s="5"/>
      <c r="L219" s="5"/>
      <c r="M219" s="5"/>
    </row>
    <row r="220" customFormat="false" ht="23.25" hidden="false" customHeight="true" outlineLevel="0" collapsed="false">
      <c r="A220" s="14" t="s">
        <v>810</v>
      </c>
      <c r="B220" s="5" t="n">
        <v>153</v>
      </c>
      <c r="C220" s="6" t="s">
        <v>868</v>
      </c>
      <c r="D220" s="5"/>
      <c r="E220" s="5" t="s">
        <v>869</v>
      </c>
      <c r="F220" s="5" t="s">
        <v>304</v>
      </c>
      <c r="G220" s="5" t="s">
        <v>870</v>
      </c>
      <c r="H220" s="5" t="s">
        <v>312</v>
      </c>
      <c r="I220" s="9" t="s">
        <v>35</v>
      </c>
      <c r="J220" s="5" t="s">
        <v>871</v>
      </c>
      <c r="K220" s="5"/>
      <c r="L220" s="5"/>
      <c r="M220" s="5"/>
    </row>
    <row r="221" customFormat="false" ht="15" hidden="false" customHeight="true" outlineLevel="0" collapsed="false">
      <c r="A221" s="14" t="s">
        <v>810</v>
      </c>
      <c r="B221" s="5" t="n">
        <v>161</v>
      </c>
      <c r="C221" s="6" t="s">
        <v>872</v>
      </c>
      <c r="D221" s="5"/>
      <c r="E221" s="5" t="s">
        <v>873</v>
      </c>
      <c r="F221" s="5" t="s">
        <v>527</v>
      </c>
      <c r="G221" s="5" t="s">
        <v>17</v>
      </c>
      <c r="H221" s="5" t="s">
        <v>874</v>
      </c>
      <c r="I221" s="9" t="s">
        <v>35</v>
      </c>
      <c r="J221" s="5" t="s">
        <v>815</v>
      </c>
      <c r="K221" s="5" t="s">
        <v>21</v>
      </c>
      <c r="L221" s="5"/>
      <c r="M221" s="5" t="s">
        <v>42</v>
      </c>
    </row>
    <row r="222" customFormat="false" ht="15" hidden="false" customHeight="true" outlineLevel="0" collapsed="false">
      <c r="A222" s="14" t="s">
        <v>810</v>
      </c>
      <c r="B222" s="5" t="n">
        <v>163</v>
      </c>
      <c r="C222" s="6" t="s">
        <v>875</v>
      </c>
      <c r="D222" s="5" t="s">
        <v>876</v>
      </c>
      <c r="E222" s="5" t="s">
        <v>877</v>
      </c>
      <c r="F222" s="5" t="s">
        <v>878</v>
      </c>
      <c r="G222" s="5" t="s">
        <v>471</v>
      </c>
      <c r="H222" s="5" t="s">
        <v>472</v>
      </c>
      <c r="I222" s="10" t="s">
        <v>56</v>
      </c>
      <c r="J222" s="5" t="s">
        <v>815</v>
      </c>
      <c r="K222" s="5"/>
      <c r="L222" s="5"/>
      <c r="M222" s="5"/>
    </row>
    <row r="223" customFormat="false" ht="23.25" hidden="false" customHeight="true" outlineLevel="0" collapsed="false">
      <c r="A223" s="14" t="s">
        <v>810</v>
      </c>
      <c r="B223" s="5" t="n">
        <v>165</v>
      </c>
      <c r="C223" s="6" t="s">
        <v>879</v>
      </c>
      <c r="D223" s="5" t="s">
        <v>880</v>
      </c>
      <c r="E223" s="5" t="s">
        <v>881</v>
      </c>
      <c r="F223" s="5" t="s">
        <v>295</v>
      </c>
      <c r="G223" s="5" t="s">
        <v>109</v>
      </c>
      <c r="H223" s="5" t="s">
        <v>882</v>
      </c>
      <c r="I223" s="9" t="s">
        <v>35</v>
      </c>
      <c r="J223" s="5" t="s">
        <v>815</v>
      </c>
      <c r="K223" s="5"/>
      <c r="L223" s="5"/>
      <c r="M223" s="5"/>
    </row>
    <row r="224" customFormat="false" ht="23.25" hidden="false" customHeight="true" outlineLevel="0" collapsed="false">
      <c r="A224" s="14" t="s">
        <v>810</v>
      </c>
      <c r="B224" s="5" t="n">
        <v>185</v>
      </c>
      <c r="C224" s="6" t="s">
        <v>883</v>
      </c>
      <c r="D224" s="5"/>
      <c r="E224" s="5" t="s">
        <v>884</v>
      </c>
      <c r="F224" s="5" t="s">
        <v>304</v>
      </c>
      <c r="G224" s="5" t="s">
        <v>885</v>
      </c>
      <c r="H224" s="5" t="s">
        <v>885</v>
      </c>
      <c r="I224" s="10" t="s">
        <v>56</v>
      </c>
      <c r="J224" s="5" t="s">
        <v>815</v>
      </c>
      <c r="K224" s="5"/>
      <c r="L224" s="5"/>
      <c r="M224" s="5"/>
    </row>
    <row r="225" customFormat="false" ht="15" hidden="false" customHeight="true" outlineLevel="0" collapsed="false">
      <c r="A225" s="14" t="s">
        <v>810</v>
      </c>
      <c r="B225" s="5" t="n">
        <v>186</v>
      </c>
      <c r="C225" s="6" t="s">
        <v>886</v>
      </c>
      <c r="D225" s="5" t="s">
        <v>887</v>
      </c>
      <c r="E225" s="5" t="s">
        <v>888</v>
      </c>
      <c r="F225" s="5" t="s">
        <v>304</v>
      </c>
      <c r="G225" s="5" t="s">
        <v>109</v>
      </c>
      <c r="H225" s="5" t="s">
        <v>889</v>
      </c>
      <c r="I225" s="8" t="s">
        <v>28</v>
      </c>
      <c r="J225" s="5" t="s">
        <v>815</v>
      </c>
      <c r="K225" s="5"/>
      <c r="L225" s="5"/>
      <c r="M225" s="5"/>
    </row>
    <row r="226" customFormat="false" ht="15" hidden="false" customHeight="true" outlineLevel="0" collapsed="false">
      <c r="A226" s="14" t="s">
        <v>810</v>
      </c>
      <c r="B226" s="5" t="n">
        <v>187</v>
      </c>
      <c r="C226" s="6" t="s">
        <v>890</v>
      </c>
      <c r="D226" s="5"/>
      <c r="E226" s="5" t="s">
        <v>891</v>
      </c>
      <c r="F226" s="5" t="s">
        <v>486</v>
      </c>
      <c r="G226" s="5" t="s">
        <v>885</v>
      </c>
      <c r="H226" s="5" t="s">
        <v>885</v>
      </c>
      <c r="I226" s="8" t="s">
        <v>28</v>
      </c>
      <c r="J226" s="5" t="s">
        <v>815</v>
      </c>
      <c r="K226" s="5"/>
      <c r="L226" s="5"/>
      <c r="M226" s="5"/>
    </row>
    <row r="227" customFormat="false" ht="15" hidden="false" customHeight="true" outlineLevel="0" collapsed="false">
      <c r="A227" s="14" t="s">
        <v>810</v>
      </c>
      <c r="B227" s="5" t="n">
        <v>190</v>
      </c>
      <c r="C227" s="6" t="s">
        <v>892</v>
      </c>
      <c r="D227" s="5"/>
      <c r="E227" s="5" t="s">
        <v>893</v>
      </c>
      <c r="F227" s="5" t="s">
        <v>16</v>
      </c>
      <c r="G227" s="5" t="s">
        <v>17</v>
      </c>
      <c r="H227" s="5" t="s">
        <v>185</v>
      </c>
      <c r="I227" s="8" t="s">
        <v>28</v>
      </c>
      <c r="J227" s="5" t="s">
        <v>815</v>
      </c>
      <c r="K227" s="5"/>
      <c r="L227" s="5"/>
      <c r="M227" s="5"/>
    </row>
    <row r="228" customFormat="false" ht="15" hidden="false" customHeight="true" outlineLevel="0" collapsed="false">
      <c r="A228" s="14" t="s">
        <v>810</v>
      </c>
      <c r="B228" s="5" t="n">
        <v>191</v>
      </c>
      <c r="C228" s="6" t="s">
        <v>894</v>
      </c>
      <c r="D228" s="5"/>
      <c r="E228" s="5" t="s">
        <v>895</v>
      </c>
      <c r="F228" s="5" t="s">
        <v>16</v>
      </c>
      <c r="G228" s="5" t="s">
        <v>17</v>
      </c>
      <c r="H228" s="5" t="s">
        <v>896</v>
      </c>
      <c r="I228" s="8" t="s">
        <v>28</v>
      </c>
      <c r="J228" s="5" t="s">
        <v>815</v>
      </c>
      <c r="K228" s="5"/>
      <c r="L228" s="5"/>
      <c r="M228" s="5"/>
    </row>
    <row r="229" customFormat="false" ht="23.25" hidden="false" customHeight="true" outlineLevel="0" collapsed="false">
      <c r="A229" s="14" t="s">
        <v>810</v>
      </c>
      <c r="B229" s="5" t="n">
        <v>198</v>
      </c>
      <c r="C229" s="6" t="s">
        <v>897</v>
      </c>
      <c r="D229" s="5"/>
      <c r="E229" s="5" t="s">
        <v>898</v>
      </c>
      <c r="F229" s="5" t="s">
        <v>201</v>
      </c>
      <c r="G229" s="5" t="s">
        <v>195</v>
      </c>
      <c r="H229" s="5" t="s">
        <v>195</v>
      </c>
      <c r="I229" s="8" t="s">
        <v>28</v>
      </c>
      <c r="J229" s="5" t="s">
        <v>815</v>
      </c>
      <c r="K229" s="5"/>
      <c r="L229" s="5"/>
      <c r="M229" s="5"/>
    </row>
    <row r="230" customFormat="false" ht="15" hidden="false" customHeight="true" outlineLevel="0" collapsed="false">
      <c r="A230" s="14" t="s">
        <v>810</v>
      </c>
      <c r="B230" s="5" t="n">
        <v>203</v>
      </c>
      <c r="C230" s="6" t="s">
        <v>899</v>
      </c>
      <c r="D230" s="5"/>
      <c r="E230" s="5" t="s">
        <v>900</v>
      </c>
      <c r="F230" s="5" t="s">
        <v>357</v>
      </c>
      <c r="G230" s="5" t="s">
        <v>109</v>
      </c>
      <c r="H230" s="5" t="s">
        <v>901</v>
      </c>
      <c r="I230" s="9" t="s">
        <v>35</v>
      </c>
      <c r="J230" s="5" t="s">
        <v>815</v>
      </c>
      <c r="K230" s="5"/>
      <c r="L230" s="5"/>
      <c r="M230" s="5"/>
    </row>
    <row r="231" customFormat="false" ht="15" hidden="false" customHeight="true" outlineLevel="0" collapsed="false">
      <c r="A231" s="14" t="s">
        <v>810</v>
      </c>
      <c r="B231" s="5" t="n">
        <v>210</v>
      </c>
      <c r="C231" s="6" t="s">
        <v>902</v>
      </c>
      <c r="D231" s="5" t="s">
        <v>903</v>
      </c>
      <c r="E231" s="5" t="s">
        <v>904</v>
      </c>
      <c r="F231" s="5" t="s">
        <v>905</v>
      </c>
      <c r="G231" s="5" t="s">
        <v>17</v>
      </c>
      <c r="H231" s="5" t="s">
        <v>146</v>
      </c>
      <c r="I231" s="10" t="s">
        <v>56</v>
      </c>
      <c r="J231" s="5" t="s">
        <v>815</v>
      </c>
      <c r="K231" s="5"/>
      <c r="L231" s="5"/>
      <c r="M231" s="5"/>
    </row>
    <row r="232" customFormat="false" ht="23.25" hidden="false" customHeight="true" outlineLevel="0" collapsed="false">
      <c r="A232" s="14" t="s">
        <v>810</v>
      </c>
      <c r="B232" s="5" t="n">
        <v>215</v>
      </c>
      <c r="C232" s="6" t="s">
        <v>906</v>
      </c>
      <c r="D232" s="5" t="s">
        <v>907</v>
      </c>
      <c r="E232" s="5" t="s">
        <v>908</v>
      </c>
      <c r="F232" s="5" t="s">
        <v>909</v>
      </c>
      <c r="G232" s="5" t="s">
        <v>910</v>
      </c>
      <c r="H232" s="5" t="s">
        <v>911</v>
      </c>
      <c r="I232" s="9" t="s">
        <v>35</v>
      </c>
      <c r="J232" s="5" t="s">
        <v>815</v>
      </c>
      <c r="K232" s="5" t="s">
        <v>21</v>
      </c>
      <c r="L232" s="5"/>
      <c r="M232" s="5" t="s">
        <v>22</v>
      </c>
    </row>
    <row r="233" customFormat="false" ht="23.25" hidden="false" customHeight="true" outlineLevel="0" collapsed="false">
      <c r="A233" s="14" t="s">
        <v>810</v>
      </c>
      <c r="B233" s="5" t="n">
        <v>218</v>
      </c>
      <c r="C233" s="6" t="s">
        <v>912</v>
      </c>
      <c r="D233" s="5" t="s">
        <v>913</v>
      </c>
      <c r="E233" s="5" t="s">
        <v>914</v>
      </c>
      <c r="F233" s="5" t="s">
        <v>915</v>
      </c>
      <c r="G233" s="5" t="s">
        <v>916</v>
      </c>
      <c r="H233" s="5" t="s">
        <v>917</v>
      </c>
      <c r="I233" s="10" t="s">
        <v>56</v>
      </c>
      <c r="J233" s="5" t="s">
        <v>815</v>
      </c>
      <c r="K233" s="5"/>
      <c r="L233" s="5"/>
      <c r="M233" s="5"/>
    </row>
    <row r="234" customFormat="false" ht="15" hidden="false" customHeight="true" outlineLevel="0" collapsed="false">
      <c r="A234" s="14" t="s">
        <v>810</v>
      </c>
      <c r="B234" s="5" t="n">
        <v>229</v>
      </c>
      <c r="C234" s="6" t="s">
        <v>918</v>
      </c>
      <c r="D234" s="5"/>
      <c r="E234" s="5" t="s">
        <v>919</v>
      </c>
      <c r="F234" s="5" t="s">
        <v>347</v>
      </c>
      <c r="G234" s="5" t="s">
        <v>17</v>
      </c>
      <c r="H234" s="5" t="s">
        <v>920</v>
      </c>
      <c r="I234" s="7" t="s">
        <v>19</v>
      </c>
      <c r="J234" s="5" t="s">
        <v>815</v>
      </c>
      <c r="K234" s="5"/>
      <c r="L234" s="5"/>
      <c r="M234" s="5"/>
    </row>
    <row r="235" customFormat="false" ht="15" hidden="false" customHeight="true" outlineLevel="0" collapsed="false">
      <c r="A235" s="14" t="s">
        <v>810</v>
      </c>
      <c r="B235" s="5" t="n">
        <v>233</v>
      </c>
      <c r="C235" s="6" t="s">
        <v>921</v>
      </c>
      <c r="D235" s="5" t="s">
        <v>922</v>
      </c>
      <c r="E235" s="5" t="s">
        <v>923</v>
      </c>
      <c r="F235" s="5" t="s">
        <v>357</v>
      </c>
      <c r="G235" s="5" t="s">
        <v>109</v>
      </c>
      <c r="H235" s="5" t="s">
        <v>924</v>
      </c>
      <c r="I235" s="8" t="s">
        <v>28</v>
      </c>
      <c r="J235" s="5" t="s">
        <v>815</v>
      </c>
      <c r="K235" s="5"/>
      <c r="L235" s="5"/>
      <c r="M235" s="5"/>
    </row>
    <row r="236" customFormat="false" ht="15" hidden="false" customHeight="true" outlineLevel="0" collapsed="false">
      <c r="A236" s="14" t="s">
        <v>810</v>
      </c>
      <c r="B236" s="5" t="n">
        <v>243</v>
      </c>
      <c r="C236" s="6" t="s">
        <v>925</v>
      </c>
      <c r="D236" s="5" t="s">
        <v>926</v>
      </c>
      <c r="E236" s="5" t="s">
        <v>927</v>
      </c>
      <c r="F236" s="5" t="s">
        <v>378</v>
      </c>
      <c r="G236" s="5" t="s">
        <v>33</v>
      </c>
      <c r="H236" s="5" t="s">
        <v>928</v>
      </c>
      <c r="I236" s="7" t="s">
        <v>19</v>
      </c>
      <c r="J236" s="5" t="s">
        <v>815</v>
      </c>
      <c r="K236" s="5"/>
      <c r="L236" s="5"/>
      <c r="M236" s="5"/>
    </row>
    <row r="237" customFormat="false" ht="23.25" hidden="false" customHeight="true" outlineLevel="0" collapsed="false">
      <c r="A237" s="14" t="s">
        <v>810</v>
      </c>
      <c r="B237" s="5" t="n">
        <v>257</v>
      </c>
      <c r="C237" s="6" t="s">
        <v>929</v>
      </c>
      <c r="D237" s="5" t="s">
        <v>930</v>
      </c>
      <c r="E237" s="5" t="s">
        <v>389</v>
      </c>
      <c r="F237" s="5" t="s">
        <v>470</v>
      </c>
      <c r="G237" s="5" t="s">
        <v>572</v>
      </c>
      <c r="H237" s="5" t="s">
        <v>708</v>
      </c>
      <c r="I237" s="8" t="s">
        <v>28</v>
      </c>
      <c r="J237" s="5" t="s">
        <v>815</v>
      </c>
      <c r="K237" s="5"/>
      <c r="L237" s="5"/>
      <c r="M237" s="5"/>
    </row>
    <row r="238" customFormat="false" ht="15" hidden="false" customHeight="true" outlineLevel="0" collapsed="false">
      <c r="A238" s="14" t="s">
        <v>810</v>
      </c>
      <c r="B238" s="5" t="n">
        <v>264</v>
      </c>
      <c r="C238" s="6" t="s">
        <v>931</v>
      </c>
      <c r="D238" s="5" t="s">
        <v>932</v>
      </c>
      <c r="E238" s="5" t="s">
        <v>933</v>
      </c>
      <c r="F238" s="5" t="s">
        <v>615</v>
      </c>
      <c r="G238" s="5" t="s">
        <v>934</v>
      </c>
      <c r="H238" s="5" t="s">
        <v>935</v>
      </c>
      <c r="I238" s="7" t="s">
        <v>19</v>
      </c>
      <c r="J238" s="5" t="s">
        <v>815</v>
      </c>
      <c r="K238" s="5"/>
      <c r="L238" s="5"/>
      <c r="M238" s="5"/>
    </row>
    <row r="239" customFormat="false" ht="15" hidden="false" customHeight="true" outlineLevel="0" collapsed="false">
      <c r="A239" s="14" t="s">
        <v>810</v>
      </c>
      <c r="B239" s="5" t="n">
        <v>271</v>
      </c>
      <c r="C239" s="6" t="s">
        <v>936</v>
      </c>
      <c r="D239" s="5" t="s">
        <v>937</v>
      </c>
      <c r="E239" s="5" t="s">
        <v>95</v>
      </c>
      <c r="F239" s="5" t="s">
        <v>690</v>
      </c>
      <c r="G239" s="5" t="s">
        <v>97</v>
      </c>
      <c r="H239" s="5" t="s">
        <v>562</v>
      </c>
      <c r="I239" s="10" t="s">
        <v>56</v>
      </c>
      <c r="J239" s="5" t="s">
        <v>815</v>
      </c>
      <c r="K239" s="5"/>
      <c r="L239" s="5"/>
      <c r="M239" s="5"/>
    </row>
    <row r="240" customFormat="false" ht="15" hidden="false" customHeight="true" outlineLevel="0" collapsed="false">
      <c r="A240" s="14" t="s">
        <v>810</v>
      </c>
      <c r="B240" s="5" t="n">
        <v>273</v>
      </c>
      <c r="C240" s="6" t="s">
        <v>938</v>
      </c>
      <c r="D240" s="5"/>
      <c r="E240" s="5" t="s">
        <v>939</v>
      </c>
      <c r="F240" s="5" t="s">
        <v>465</v>
      </c>
      <c r="G240" s="5" t="s">
        <v>97</v>
      </c>
      <c r="H240" s="5" t="s">
        <v>940</v>
      </c>
      <c r="I240" s="10" t="s">
        <v>56</v>
      </c>
      <c r="J240" s="5" t="s">
        <v>815</v>
      </c>
      <c r="K240" s="5"/>
      <c r="L240" s="5"/>
      <c r="M240" s="5"/>
    </row>
    <row r="241" customFormat="false" ht="15" hidden="false" customHeight="true" outlineLevel="0" collapsed="false">
      <c r="A241" s="14" t="s">
        <v>810</v>
      </c>
      <c r="B241" s="5" t="n">
        <v>288</v>
      </c>
      <c r="C241" s="6" t="s">
        <v>941</v>
      </c>
      <c r="D241" s="5"/>
      <c r="E241" s="5" t="s">
        <v>671</v>
      </c>
      <c r="F241" s="5" t="s">
        <v>620</v>
      </c>
      <c r="G241" s="5" t="s">
        <v>942</v>
      </c>
      <c r="H241" s="5" t="s">
        <v>943</v>
      </c>
      <c r="I241" s="9" t="s">
        <v>35</v>
      </c>
      <c r="J241" s="5" t="s">
        <v>944</v>
      </c>
      <c r="K241" s="5"/>
      <c r="L241" s="5"/>
      <c r="M241" s="5"/>
    </row>
    <row r="242" customFormat="false" ht="23.25" hidden="false" customHeight="true" outlineLevel="0" collapsed="false">
      <c r="A242" s="14" t="s">
        <v>810</v>
      </c>
      <c r="B242" s="5" t="n">
        <v>289</v>
      </c>
      <c r="C242" s="6" t="s">
        <v>945</v>
      </c>
      <c r="D242" s="5"/>
      <c r="E242" s="5" t="s">
        <v>946</v>
      </c>
      <c r="F242" s="5" t="s">
        <v>118</v>
      </c>
      <c r="G242" s="5" t="s">
        <v>834</v>
      </c>
      <c r="H242" s="5" t="s">
        <v>834</v>
      </c>
      <c r="I242" s="7" t="s">
        <v>19</v>
      </c>
      <c r="J242" s="5" t="s">
        <v>815</v>
      </c>
      <c r="K242" s="5"/>
      <c r="L242" s="5"/>
      <c r="M242" s="5"/>
    </row>
    <row r="243" customFormat="false" ht="15" hidden="false" customHeight="true" outlineLevel="0" collapsed="false">
      <c r="A243" s="14" t="s">
        <v>810</v>
      </c>
      <c r="B243" s="5" t="n">
        <v>290</v>
      </c>
      <c r="C243" s="6" t="s">
        <v>947</v>
      </c>
      <c r="D243" s="5" t="s">
        <v>948</v>
      </c>
      <c r="E243" s="5" t="s">
        <v>949</v>
      </c>
      <c r="F243" s="5" t="s">
        <v>950</v>
      </c>
      <c r="G243" s="5" t="s">
        <v>33</v>
      </c>
      <c r="H243" s="5" t="s">
        <v>951</v>
      </c>
      <c r="I243" s="9" t="s">
        <v>35</v>
      </c>
      <c r="J243" s="5" t="s">
        <v>815</v>
      </c>
      <c r="K243" s="5"/>
      <c r="L243" s="5"/>
      <c r="M243" s="5"/>
    </row>
    <row r="244" customFormat="false" ht="15" hidden="false" customHeight="true" outlineLevel="0" collapsed="false">
      <c r="A244" s="14" t="s">
        <v>810</v>
      </c>
      <c r="B244" s="5" t="n">
        <v>294</v>
      </c>
      <c r="C244" s="6" t="s">
        <v>952</v>
      </c>
      <c r="D244" s="5" t="s">
        <v>953</v>
      </c>
      <c r="E244" s="5" t="s">
        <v>954</v>
      </c>
      <c r="F244" s="5" t="s">
        <v>201</v>
      </c>
      <c r="G244" s="5" t="s">
        <v>17</v>
      </c>
      <c r="H244" s="5" t="s">
        <v>955</v>
      </c>
      <c r="I244" s="8" t="s">
        <v>28</v>
      </c>
      <c r="J244" s="5" t="s">
        <v>815</v>
      </c>
      <c r="K244" s="5"/>
      <c r="L244" s="5"/>
      <c r="M244" s="5"/>
    </row>
    <row r="245" customFormat="false" ht="15" hidden="false" customHeight="true" outlineLevel="0" collapsed="false">
      <c r="A245" s="14" t="s">
        <v>810</v>
      </c>
      <c r="B245" s="5" t="n">
        <v>303</v>
      </c>
      <c r="C245" s="6" t="s">
        <v>956</v>
      </c>
      <c r="D245" s="5"/>
      <c r="E245" s="5" t="s">
        <v>957</v>
      </c>
      <c r="F245" s="5" t="s">
        <v>347</v>
      </c>
      <c r="G245" s="5" t="s">
        <v>17</v>
      </c>
      <c r="H245" s="5" t="s">
        <v>958</v>
      </c>
      <c r="I245" s="9" t="s">
        <v>35</v>
      </c>
      <c r="J245" s="5" t="s">
        <v>815</v>
      </c>
      <c r="K245" s="5"/>
      <c r="L245" s="5"/>
      <c r="M245" s="5"/>
    </row>
    <row r="246" customFormat="false" ht="15" hidden="false" customHeight="true" outlineLevel="0" collapsed="false">
      <c r="A246" s="14" t="s">
        <v>810</v>
      </c>
      <c r="B246" s="5" t="n">
        <v>307</v>
      </c>
      <c r="C246" s="6" t="s">
        <v>959</v>
      </c>
      <c r="D246" s="5" t="s">
        <v>960</v>
      </c>
      <c r="E246" s="5" t="s">
        <v>961</v>
      </c>
      <c r="F246" s="5" t="s">
        <v>962</v>
      </c>
      <c r="G246" s="5" t="s">
        <v>139</v>
      </c>
      <c r="H246" s="5" t="s">
        <v>963</v>
      </c>
      <c r="I246" s="10" t="s">
        <v>56</v>
      </c>
      <c r="J246" s="5" t="s">
        <v>815</v>
      </c>
      <c r="K246" s="5"/>
      <c r="L246" s="5"/>
      <c r="M246" s="5"/>
    </row>
    <row r="247" customFormat="false" ht="23.25" hidden="false" customHeight="true" outlineLevel="0" collapsed="false">
      <c r="A247" s="14" t="s">
        <v>810</v>
      </c>
      <c r="B247" s="5" t="n">
        <v>312</v>
      </c>
      <c r="C247" s="6" t="s">
        <v>964</v>
      </c>
      <c r="D247" s="5" t="s">
        <v>965</v>
      </c>
      <c r="E247" s="5" t="s">
        <v>183</v>
      </c>
      <c r="F247" s="5" t="s">
        <v>395</v>
      </c>
      <c r="G247" s="5" t="s">
        <v>299</v>
      </c>
      <c r="H247" s="5" t="s">
        <v>966</v>
      </c>
      <c r="I247" s="7" t="s">
        <v>19</v>
      </c>
      <c r="J247" s="5" t="s">
        <v>815</v>
      </c>
      <c r="K247" s="5" t="s">
        <v>21</v>
      </c>
      <c r="L247" s="5"/>
      <c r="M247" s="5" t="s">
        <v>42</v>
      </c>
    </row>
    <row r="248" customFormat="false" ht="15" hidden="false" customHeight="true" outlineLevel="0" collapsed="false">
      <c r="A248" s="14" t="s">
        <v>810</v>
      </c>
      <c r="B248" s="5" t="n">
        <v>315</v>
      </c>
      <c r="C248" s="6" t="s">
        <v>967</v>
      </c>
      <c r="D248" s="5" t="s">
        <v>968</v>
      </c>
      <c r="E248" s="5" t="s">
        <v>969</v>
      </c>
      <c r="F248" s="5" t="s">
        <v>970</v>
      </c>
      <c r="G248" s="5" t="s">
        <v>471</v>
      </c>
      <c r="H248" s="5" t="s">
        <v>472</v>
      </c>
      <c r="I248" s="10" t="s">
        <v>56</v>
      </c>
      <c r="J248" s="5" t="s">
        <v>815</v>
      </c>
      <c r="K248" s="5"/>
      <c r="L248" s="5"/>
      <c r="M248" s="5"/>
    </row>
    <row r="249" customFormat="false" ht="15" hidden="false" customHeight="true" outlineLevel="0" collapsed="false">
      <c r="A249" s="14" t="s">
        <v>810</v>
      </c>
      <c r="B249" s="5" t="n">
        <v>321</v>
      </c>
      <c r="C249" s="6" t="s">
        <v>971</v>
      </c>
      <c r="D249" s="5"/>
      <c r="E249" s="5" t="s">
        <v>482</v>
      </c>
      <c r="F249" s="5" t="s">
        <v>569</v>
      </c>
      <c r="G249" s="5" t="s">
        <v>139</v>
      </c>
      <c r="H249" s="5" t="s">
        <v>972</v>
      </c>
      <c r="I249" s="9" t="s">
        <v>35</v>
      </c>
      <c r="J249" s="5" t="s">
        <v>815</v>
      </c>
      <c r="K249" s="5"/>
      <c r="L249" s="5"/>
      <c r="M249" s="5"/>
    </row>
    <row r="250" customFormat="false" ht="15" hidden="false" customHeight="true" outlineLevel="0" collapsed="false">
      <c r="A250" s="14" t="s">
        <v>810</v>
      </c>
      <c r="B250" s="5" t="n">
        <v>326</v>
      </c>
      <c r="C250" s="6" t="s">
        <v>973</v>
      </c>
      <c r="D250" s="5" t="s">
        <v>974</v>
      </c>
      <c r="E250" s="5" t="s">
        <v>975</v>
      </c>
      <c r="F250" s="5" t="s">
        <v>108</v>
      </c>
      <c r="G250" s="5" t="s">
        <v>17</v>
      </c>
      <c r="H250" s="5" t="s">
        <v>874</v>
      </c>
      <c r="I250" s="7" t="s">
        <v>19</v>
      </c>
      <c r="J250" s="5" t="s">
        <v>815</v>
      </c>
      <c r="K250" s="5"/>
      <c r="L250" s="5"/>
      <c r="M250" s="5"/>
    </row>
    <row r="251" customFormat="false" ht="15" hidden="false" customHeight="true" outlineLevel="0" collapsed="false">
      <c r="A251" s="14" t="s">
        <v>810</v>
      </c>
      <c r="B251" s="5" t="n">
        <v>335</v>
      </c>
      <c r="C251" s="6" t="s">
        <v>976</v>
      </c>
      <c r="D251" s="5" t="s">
        <v>977</v>
      </c>
      <c r="E251" s="5" t="s">
        <v>978</v>
      </c>
      <c r="F251" s="5" t="s">
        <v>247</v>
      </c>
      <c r="G251" s="5" t="s">
        <v>17</v>
      </c>
      <c r="H251" s="5" t="s">
        <v>979</v>
      </c>
      <c r="I251" s="8" t="s">
        <v>28</v>
      </c>
      <c r="J251" s="5" t="s">
        <v>815</v>
      </c>
      <c r="K251" s="5"/>
      <c r="L251" s="5"/>
      <c r="M251" s="5"/>
    </row>
    <row r="252" customFormat="false" ht="15" hidden="false" customHeight="true" outlineLevel="0" collapsed="false">
      <c r="A252" s="15" t="s">
        <v>980</v>
      </c>
      <c r="B252" s="5" t="n">
        <v>2</v>
      </c>
      <c r="C252" s="6" t="s">
        <v>981</v>
      </c>
      <c r="D252" s="5"/>
      <c r="E252" s="5" t="s">
        <v>593</v>
      </c>
      <c r="F252" s="5" t="s">
        <v>347</v>
      </c>
      <c r="G252" s="5" t="s">
        <v>33</v>
      </c>
      <c r="H252" s="5" t="s">
        <v>982</v>
      </c>
      <c r="I252" s="9" t="s">
        <v>35</v>
      </c>
      <c r="J252" s="5" t="s">
        <v>983</v>
      </c>
      <c r="K252" s="5"/>
      <c r="L252" s="5"/>
      <c r="M252" s="5"/>
    </row>
    <row r="253" customFormat="false" ht="23.25" hidden="false" customHeight="true" outlineLevel="0" collapsed="false">
      <c r="A253" s="15" t="s">
        <v>980</v>
      </c>
      <c r="B253" s="5" t="n">
        <v>9</v>
      </c>
      <c r="C253" s="6" t="s">
        <v>984</v>
      </c>
      <c r="D253" s="5"/>
      <c r="E253" s="5" t="s">
        <v>985</v>
      </c>
      <c r="F253" s="5" t="s">
        <v>569</v>
      </c>
      <c r="G253" s="5" t="s">
        <v>139</v>
      </c>
      <c r="H253" s="5" t="s">
        <v>139</v>
      </c>
      <c r="I253" s="9" t="s">
        <v>35</v>
      </c>
      <c r="J253" s="5" t="s">
        <v>983</v>
      </c>
      <c r="K253" s="5"/>
      <c r="L253" s="5"/>
      <c r="M253" s="5"/>
    </row>
    <row r="254" customFormat="false" ht="15" hidden="false" customHeight="true" outlineLevel="0" collapsed="false">
      <c r="A254" s="15" t="s">
        <v>980</v>
      </c>
      <c r="B254" s="5" t="n">
        <v>12</v>
      </c>
      <c r="C254" s="6" t="s">
        <v>986</v>
      </c>
      <c r="D254" s="5"/>
      <c r="E254" s="5" t="s">
        <v>987</v>
      </c>
      <c r="F254" s="5" t="s">
        <v>347</v>
      </c>
      <c r="G254" s="5" t="s">
        <v>17</v>
      </c>
      <c r="H254" s="5" t="s">
        <v>202</v>
      </c>
      <c r="I254" s="9" t="s">
        <v>35</v>
      </c>
      <c r="J254" s="5" t="s">
        <v>983</v>
      </c>
      <c r="K254" s="5"/>
      <c r="L254" s="5"/>
      <c r="M254" s="5"/>
    </row>
    <row r="255" customFormat="false" ht="15" hidden="false" customHeight="true" outlineLevel="0" collapsed="false">
      <c r="A255" s="15" t="s">
        <v>980</v>
      </c>
      <c r="B255" s="5" t="n">
        <v>28</v>
      </c>
      <c r="C255" s="6" t="s">
        <v>988</v>
      </c>
      <c r="D255" s="5" t="s">
        <v>989</v>
      </c>
      <c r="E255" s="5" t="s">
        <v>990</v>
      </c>
      <c r="F255" s="5" t="s">
        <v>532</v>
      </c>
      <c r="G255" s="5" t="s">
        <v>471</v>
      </c>
      <c r="H255" s="5" t="s">
        <v>471</v>
      </c>
      <c r="I255" s="10" t="s">
        <v>56</v>
      </c>
      <c r="J255" s="5" t="s">
        <v>983</v>
      </c>
      <c r="K255" s="5"/>
      <c r="L255" s="5"/>
      <c r="M255" s="5"/>
    </row>
    <row r="256" customFormat="false" ht="23.25" hidden="false" customHeight="true" outlineLevel="0" collapsed="false">
      <c r="A256" s="15" t="s">
        <v>980</v>
      </c>
      <c r="B256" s="5" t="n">
        <v>44</v>
      </c>
      <c r="C256" s="6" t="s">
        <v>991</v>
      </c>
      <c r="D256" s="5"/>
      <c r="E256" s="5" t="s">
        <v>869</v>
      </c>
      <c r="F256" s="5" t="s">
        <v>304</v>
      </c>
      <c r="G256" s="5" t="s">
        <v>870</v>
      </c>
      <c r="H256" s="5" t="s">
        <v>312</v>
      </c>
      <c r="I256" s="9" t="s">
        <v>35</v>
      </c>
      <c r="J256" s="5" t="s">
        <v>992</v>
      </c>
      <c r="K256" s="5"/>
      <c r="L256" s="5"/>
      <c r="M256" s="5"/>
    </row>
    <row r="257" customFormat="false" ht="15" hidden="false" customHeight="true" outlineLevel="0" collapsed="false">
      <c r="A257" s="15" t="s">
        <v>980</v>
      </c>
      <c r="B257" s="5" t="n">
        <v>51</v>
      </c>
      <c r="C257" s="6" t="s">
        <v>993</v>
      </c>
      <c r="D257" s="5"/>
      <c r="E257" s="5" t="s">
        <v>994</v>
      </c>
      <c r="F257" s="5" t="s">
        <v>65</v>
      </c>
      <c r="G257" s="5" t="s">
        <v>17</v>
      </c>
      <c r="H257" s="5" t="s">
        <v>71</v>
      </c>
      <c r="I257" s="7" t="s">
        <v>19</v>
      </c>
      <c r="J257" s="5" t="s">
        <v>983</v>
      </c>
      <c r="K257" s="5"/>
      <c r="L257" s="5"/>
      <c r="M257" s="5"/>
    </row>
    <row r="258" customFormat="false" ht="15" hidden="false" customHeight="true" outlineLevel="0" collapsed="false">
      <c r="A258" s="15" t="s">
        <v>980</v>
      </c>
      <c r="B258" s="5" t="n">
        <v>55</v>
      </c>
      <c r="C258" s="6" t="s">
        <v>995</v>
      </c>
      <c r="D258" s="5"/>
      <c r="E258" s="5" t="s">
        <v>996</v>
      </c>
      <c r="F258" s="5" t="s">
        <v>854</v>
      </c>
      <c r="G258" s="5" t="s">
        <v>772</v>
      </c>
      <c r="H258" s="5" t="s">
        <v>997</v>
      </c>
      <c r="I258" s="9" t="s">
        <v>35</v>
      </c>
      <c r="J258" s="5" t="s">
        <v>983</v>
      </c>
      <c r="K258" s="5"/>
      <c r="L258" s="5"/>
      <c r="M258" s="5"/>
    </row>
    <row r="259" customFormat="false" ht="15" hidden="false" customHeight="true" outlineLevel="0" collapsed="false">
      <c r="A259" s="15" t="s">
        <v>980</v>
      </c>
      <c r="B259" s="5" t="n">
        <v>60</v>
      </c>
      <c r="C259" s="6" t="s">
        <v>998</v>
      </c>
      <c r="D259" s="5"/>
      <c r="E259" s="5" t="s">
        <v>614</v>
      </c>
      <c r="F259" s="5" t="s">
        <v>999</v>
      </c>
      <c r="G259" s="5" t="s">
        <v>1000</v>
      </c>
      <c r="H259" s="5" t="s">
        <v>1001</v>
      </c>
      <c r="I259" s="9" t="s">
        <v>35</v>
      </c>
      <c r="J259" s="5" t="s">
        <v>1002</v>
      </c>
      <c r="K259" s="5"/>
      <c r="L259" s="5"/>
      <c r="M259" s="5"/>
    </row>
    <row r="260" customFormat="false" ht="23.25" hidden="false" customHeight="true" outlineLevel="0" collapsed="false">
      <c r="A260" s="15" t="s">
        <v>980</v>
      </c>
      <c r="B260" s="5" t="n">
        <v>63</v>
      </c>
      <c r="C260" s="6" t="s">
        <v>1003</v>
      </c>
      <c r="D260" s="5"/>
      <c r="E260" s="5" t="s">
        <v>1004</v>
      </c>
      <c r="F260" s="5" t="s">
        <v>780</v>
      </c>
      <c r="G260" s="5" t="s">
        <v>471</v>
      </c>
      <c r="H260" s="5" t="s">
        <v>1005</v>
      </c>
      <c r="I260" s="7" t="s">
        <v>19</v>
      </c>
      <c r="J260" s="5" t="s">
        <v>1006</v>
      </c>
      <c r="K260" s="5"/>
      <c r="L260" s="5"/>
      <c r="M260" s="5"/>
    </row>
    <row r="261" customFormat="false" ht="15" hidden="false" customHeight="true" outlineLevel="0" collapsed="false">
      <c r="A261" s="15" t="s">
        <v>980</v>
      </c>
      <c r="B261" s="5" t="n">
        <v>73</v>
      </c>
      <c r="C261" s="6" t="s">
        <v>1007</v>
      </c>
      <c r="D261" s="5"/>
      <c r="E261" s="5" t="s">
        <v>1008</v>
      </c>
      <c r="F261" s="5" t="s">
        <v>347</v>
      </c>
      <c r="G261" s="5" t="s">
        <v>17</v>
      </c>
      <c r="H261" s="5" t="s">
        <v>1009</v>
      </c>
      <c r="I261" s="10" t="s">
        <v>56</v>
      </c>
      <c r="J261" s="5" t="s">
        <v>983</v>
      </c>
      <c r="K261" s="5"/>
      <c r="L261" s="5"/>
      <c r="M261" s="5"/>
    </row>
    <row r="262" customFormat="false" ht="23.25" hidden="false" customHeight="true" outlineLevel="0" collapsed="false">
      <c r="A262" s="15" t="s">
        <v>980</v>
      </c>
      <c r="B262" s="5" t="n">
        <v>78</v>
      </c>
      <c r="C262" s="6" t="s">
        <v>1010</v>
      </c>
      <c r="D262" s="5" t="s">
        <v>1011</v>
      </c>
      <c r="E262" s="5" t="s">
        <v>1012</v>
      </c>
      <c r="F262" s="5" t="s">
        <v>271</v>
      </c>
      <c r="G262" s="5" t="s">
        <v>1013</v>
      </c>
      <c r="H262" s="5" t="s">
        <v>1014</v>
      </c>
      <c r="I262" s="10" t="s">
        <v>56</v>
      </c>
      <c r="J262" s="5" t="s">
        <v>1015</v>
      </c>
      <c r="K262" s="5"/>
      <c r="L262" s="5"/>
      <c r="M262" s="5"/>
    </row>
    <row r="263" customFormat="false" ht="15" hidden="false" customHeight="true" outlineLevel="0" collapsed="false">
      <c r="A263" s="15" t="s">
        <v>980</v>
      </c>
      <c r="B263" s="5" t="n">
        <v>80</v>
      </c>
      <c r="C263" s="6" t="s">
        <v>1016</v>
      </c>
      <c r="D263" s="5"/>
      <c r="E263" s="5" t="s">
        <v>1017</v>
      </c>
      <c r="F263" s="5" t="s">
        <v>669</v>
      </c>
      <c r="G263" s="5" t="s">
        <v>17</v>
      </c>
      <c r="H263" s="5" t="s">
        <v>1018</v>
      </c>
      <c r="I263" s="8" t="s">
        <v>28</v>
      </c>
      <c r="J263" s="5" t="s">
        <v>983</v>
      </c>
      <c r="K263" s="5"/>
      <c r="L263" s="5"/>
      <c r="M263" s="5"/>
    </row>
    <row r="264" customFormat="false" ht="15" hidden="false" customHeight="true" outlineLevel="0" collapsed="false">
      <c r="A264" s="15" t="s">
        <v>980</v>
      </c>
      <c r="B264" s="5" t="n">
        <v>84</v>
      </c>
      <c r="C264" s="6" t="s">
        <v>1019</v>
      </c>
      <c r="D264" s="5"/>
      <c r="E264" s="5" t="s">
        <v>1020</v>
      </c>
      <c r="F264" s="5" t="s">
        <v>763</v>
      </c>
      <c r="G264" s="5" t="s">
        <v>772</v>
      </c>
      <c r="H264" s="5" t="s">
        <v>1021</v>
      </c>
      <c r="I264" s="10" t="s">
        <v>56</v>
      </c>
      <c r="J264" s="5" t="s">
        <v>983</v>
      </c>
      <c r="K264" s="5"/>
      <c r="L264" s="5"/>
      <c r="M264" s="5"/>
    </row>
    <row r="265" customFormat="false" ht="15" hidden="false" customHeight="true" outlineLevel="0" collapsed="false">
      <c r="A265" s="15" t="s">
        <v>980</v>
      </c>
      <c r="B265" s="5" t="n">
        <v>88</v>
      </c>
      <c r="C265" s="6" t="s">
        <v>1022</v>
      </c>
      <c r="D265" s="5"/>
      <c r="E265" s="5" t="s">
        <v>1023</v>
      </c>
      <c r="F265" s="5" t="s">
        <v>352</v>
      </c>
      <c r="G265" s="5" t="s">
        <v>17</v>
      </c>
      <c r="H265" s="5" t="s">
        <v>1024</v>
      </c>
      <c r="I265" s="8" t="s">
        <v>28</v>
      </c>
      <c r="J265" s="5" t="s">
        <v>983</v>
      </c>
      <c r="K265" s="5"/>
      <c r="L265" s="5"/>
      <c r="M265" s="5"/>
    </row>
    <row r="266" customFormat="false" ht="15" hidden="false" customHeight="true" outlineLevel="0" collapsed="false">
      <c r="A266" s="15" t="s">
        <v>980</v>
      </c>
      <c r="B266" s="5" t="n">
        <v>107</v>
      </c>
      <c r="C266" s="6" t="s">
        <v>1025</v>
      </c>
      <c r="D266" s="5"/>
      <c r="E266" s="5" t="s">
        <v>1026</v>
      </c>
      <c r="F266" s="5" t="s">
        <v>357</v>
      </c>
      <c r="G266" s="5" t="s">
        <v>17</v>
      </c>
      <c r="H266" s="5" t="s">
        <v>190</v>
      </c>
      <c r="I266" s="9" t="s">
        <v>35</v>
      </c>
      <c r="J266" s="5" t="s">
        <v>983</v>
      </c>
      <c r="K266" s="5"/>
      <c r="L266" s="5"/>
      <c r="M266" s="5"/>
    </row>
    <row r="267" customFormat="false" ht="15" hidden="false" customHeight="true" outlineLevel="0" collapsed="false">
      <c r="A267" s="15" t="s">
        <v>980</v>
      </c>
      <c r="B267" s="5" t="n">
        <v>110</v>
      </c>
      <c r="C267" s="6" t="s">
        <v>1027</v>
      </c>
      <c r="D267" s="5"/>
      <c r="E267" s="5" t="s">
        <v>1028</v>
      </c>
      <c r="F267" s="5" t="s">
        <v>50</v>
      </c>
      <c r="G267" s="5" t="s">
        <v>139</v>
      </c>
      <c r="H267" s="5" t="s">
        <v>1029</v>
      </c>
      <c r="I267" s="8" t="s">
        <v>28</v>
      </c>
      <c r="J267" s="5" t="s">
        <v>983</v>
      </c>
      <c r="K267" s="5"/>
      <c r="L267" s="5"/>
      <c r="M267" s="5"/>
    </row>
    <row r="268" customFormat="false" ht="15" hidden="false" customHeight="true" outlineLevel="0" collapsed="false">
      <c r="A268" s="15" t="s">
        <v>980</v>
      </c>
      <c r="B268" s="5" t="n">
        <v>112</v>
      </c>
      <c r="C268" s="6" t="s">
        <v>1030</v>
      </c>
      <c r="D268" s="5" t="s">
        <v>1031</v>
      </c>
      <c r="E268" s="5" t="s">
        <v>193</v>
      </c>
      <c r="F268" s="5" t="s">
        <v>1032</v>
      </c>
      <c r="G268" s="5" t="s">
        <v>195</v>
      </c>
      <c r="H268" s="5" t="s">
        <v>196</v>
      </c>
      <c r="I268" s="7" t="s">
        <v>19</v>
      </c>
      <c r="J268" s="5" t="s">
        <v>1033</v>
      </c>
      <c r="K268" s="5" t="s">
        <v>21</v>
      </c>
      <c r="L268" s="5"/>
      <c r="M268" s="5" t="s">
        <v>42</v>
      </c>
    </row>
    <row r="269" customFormat="false" ht="15" hidden="false" customHeight="true" outlineLevel="0" collapsed="false">
      <c r="A269" s="15" t="s">
        <v>980</v>
      </c>
      <c r="B269" s="5" t="n">
        <v>118</v>
      </c>
      <c r="C269" s="6" t="s">
        <v>1034</v>
      </c>
      <c r="D269" s="5"/>
      <c r="E269" s="5" t="s">
        <v>1035</v>
      </c>
      <c r="F269" s="5" t="s">
        <v>304</v>
      </c>
      <c r="G269" s="5" t="s">
        <v>17</v>
      </c>
      <c r="H269" s="5" t="s">
        <v>1036</v>
      </c>
      <c r="I269" s="10" t="s">
        <v>56</v>
      </c>
      <c r="J269" s="5" t="s">
        <v>983</v>
      </c>
      <c r="K269" s="5"/>
      <c r="L269" s="5"/>
      <c r="M269" s="5"/>
    </row>
    <row r="270" customFormat="false" ht="15" hidden="false" customHeight="true" outlineLevel="0" collapsed="false">
      <c r="A270" s="15" t="s">
        <v>980</v>
      </c>
      <c r="B270" s="5" t="n">
        <v>131</v>
      </c>
      <c r="C270" s="6" t="s">
        <v>1037</v>
      </c>
      <c r="D270" s="5"/>
      <c r="E270" s="5" t="s">
        <v>1038</v>
      </c>
      <c r="F270" s="5" t="s">
        <v>669</v>
      </c>
      <c r="G270" s="5" t="s">
        <v>17</v>
      </c>
      <c r="H270" s="5" t="s">
        <v>1039</v>
      </c>
      <c r="I270" s="8" t="s">
        <v>28</v>
      </c>
      <c r="J270" s="5" t="s">
        <v>983</v>
      </c>
      <c r="K270" s="5"/>
      <c r="L270" s="5"/>
      <c r="M270" s="5"/>
    </row>
    <row r="271" customFormat="false" ht="15" hidden="false" customHeight="true" outlineLevel="0" collapsed="false">
      <c r="A271" s="15" t="s">
        <v>980</v>
      </c>
      <c r="B271" s="5" t="n">
        <v>135</v>
      </c>
      <c r="C271" s="6" t="s">
        <v>1040</v>
      </c>
      <c r="D271" s="5"/>
      <c r="E271" s="5" t="s">
        <v>1041</v>
      </c>
      <c r="F271" s="5" t="s">
        <v>16</v>
      </c>
      <c r="G271" s="5" t="s">
        <v>33</v>
      </c>
      <c r="H271" s="5" t="s">
        <v>1042</v>
      </c>
      <c r="I271" s="9" t="s">
        <v>35</v>
      </c>
      <c r="J271" s="5" t="s">
        <v>983</v>
      </c>
      <c r="K271" s="5"/>
      <c r="L271" s="5"/>
      <c r="M271" s="5"/>
    </row>
    <row r="272" customFormat="false" ht="23.25" hidden="false" customHeight="true" outlineLevel="0" collapsed="false">
      <c r="A272" s="15" t="s">
        <v>980</v>
      </c>
      <c r="B272" s="5" t="n">
        <v>142</v>
      </c>
      <c r="C272" s="6" t="s">
        <v>1043</v>
      </c>
      <c r="D272" s="5"/>
      <c r="E272" s="5" t="s">
        <v>1044</v>
      </c>
      <c r="F272" s="5" t="s">
        <v>796</v>
      </c>
      <c r="G272" s="5" t="s">
        <v>109</v>
      </c>
      <c r="H272" s="5" t="s">
        <v>1045</v>
      </c>
      <c r="I272" s="10" t="s">
        <v>56</v>
      </c>
      <c r="J272" s="5" t="s">
        <v>1046</v>
      </c>
      <c r="K272" s="5"/>
      <c r="L272" s="5"/>
      <c r="M272" s="5"/>
    </row>
    <row r="273" customFormat="false" ht="15" hidden="false" customHeight="true" outlineLevel="0" collapsed="false">
      <c r="A273" s="15" t="s">
        <v>980</v>
      </c>
      <c r="B273" s="5" t="n">
        <v>144</v>
      </c>
      <c r="C273" s="6" t="s">
        <v>1047</v>
      </c>
      <c r="D273" s="5"/>
      <c r="E273" s="5" t="s">
        <v>1048</v>
      </c>
      <c r="F273" s="5" t="s">
        <v>569</v>
      </c>
      <c r="G273" s="5" t="s">
        <v>139</v>
      </c>
      <c r="H273" s="5" t="s">
        <v>139</v>
      </c>
      <c r="I273" s="8" t="s">
        <v>28</v>
      </c>
      <c r="J273" s="5" t="s">
        <v>983</v>
      </c>
      <c r="K273" s="5"/>
      <c r="L273" s="5"/>
      <c r="M273" s="5"/>
    </row>
    <row r="274" customFormat="false" ht="23.25" hidden="false" customHeight="true" outlineLevel="0" collapsed="false">
      <c r="A274" s="15" t="s">
        <v>980</v>
      </c>
      <c r="B274" s="5" t="n">
        <v>147</v>
      </c>
      <c r="C274" s="6" t="s">
        <v>1049</v>
      </c>
      <c r="D274" s="5"/>
      <c r="E274" s="5" t="s">
        <v>1050</v>
      </c>
      <c r="F274" s="5" t="s">
        <v>569</v>
      </c>
      <c r="G274" s="5" t="s">
        <v>139</v>
      </c>
      <c r="H274" s="5" t="s">
        <v>139</v>
      </c>
      <c r="I274" s="7" t="s">
        <v>19</v>
      </c>
      <c r="J274" s="5" t="s">
        <v>983</v>
      </c>
      <c r="K274" s="5"/>
      <c r="L274" s="5"/>
      <c r="M274" s="5"/>
    </row>
    <row r="275" customFormat="false" ht="15" hidden="false" customHeight="true" outlineLevel="0" collapsed="false">
      <c r="A275" s="15" t="s">
        <v>980</v>
      </c>
      <c r="B275" s="5" t="n">
        <v>164</v>
      </c>
      <c r="C275" s="6" t="s">
        <v>1051</v>
      </c>
      <c r="D275" s="5" t="s">
        <v>1052</v>
      </c>
      <c r="E275" s="5" t="s">
        <v>1053</v>
      </c>
      <c r="F275" s="5" t="s">
        <v>1054</v>
      </c>
      <c r="G275" s="5" t="s">
        <v>471</v>
      </c>
      <c r="H275" s="5" t="s">
        <v>471</v>
      </c>
      <c r="I275" s="8" t="s">
        <v>28</v>
      </c>
      <c r="J275" s="5" t="s">
        <v>983</v>
      </c>
      <c r="K275" s="5"/>
      <c r="L275" s="5"/>
      <c r="M275" s="5"/>
    </row>
    <row r="276" customFormat="false" ht="15" hidden="false" customHeight="true" outlineLevel="0" collapsed="false">
      <c r="A276" s="15" t="s">
        <v>980</v>
      </c>
      <c r="B276" s="5" t="n">
        <v>170</v>
      </c>
      <c r="C276" s="6" t="s">
        <v>1055</v>
      </c>
      <c r="D276" s="5"/>
      <c r="E276" s="5" t="s">
        <v>1056</v>
      </c>
      <c r="F276" s="5"/>
      <c r="G276" s="5" t="s">
        <v>17</v>
      </c>
      <c r="H276" s="5" t="s">
        <v>1057</v>
      </c>
      <c r="I276" s="10" t="s">
        <v>56</v>
      </c>
      <c r="J276" s="5" t="s">
        <v>983</v>
      </c>
      <c r="K276" s="5"/>
      <c r="L276" s="5"/>
      <c r="M276" s="5"/>
    </row>
    <row r="277" customFormat="false" ht="15" hidden="false" customHeight="true" outlineLevel="0" collapsed="false">
      <c r="A277" s="15" t="s">
        <v>980</v>
      </c>
      <c r="B277" s="5" t="n">
        <v>175</v>
      </c>
      <c r="C277" s="6" t="s">
        <v>1058</v>
      </c>
      <c r="D277" s="5"/>
      <c r="E277" s="5" t="s">
        <v>1059</v>
      </c>
      <c r="F277" s="5" t="s">
        <v>962</v>
      </c>
      <c r="G277" s="5" t="s">
        <v>17</v>
      </c>
      <c r="H277" s="5" t="s">
        <v>997</v>
      </c>
      <c r="I277" s="10" t="s">
        <v>56</v>
      </c>
      <c r="J277" s="5" t="s">
        <v>983</v>
      </c>
      <c r="K277" s="5"/>
      <c r="L277" s="5"/>
      <c r="M277" s="5"/>
    </row>
    <row r="278" customFormat="false" ht="23.25" hidden="false" customHeight="true" outlineLevel="0" collapsed="false">
      <c r="A278" s="15" t="s">
        <v>980</v>
      </c>
      <c r="B278" s="5" t="n">
        <v>176</v>
      </c>
      <c r="C278" s="6" t="s">
        <v>1060</v>
      </c>
      <c r="D278" s="5"/>
      <c r="E278" s="5" t="s">
        <v>1061</v>
      </c>
      <c r="F278" s="5" t="s">
        <v>357</v>
      </c>
      <c r="G278" s="5" t="s">
        <v>139</v>
      </c>
      <c r="H278" s="5" t="s">
        <v>139</v>
      </c>
      <c r="I278" s="9" t="s">
        <v>35</v>
      </c>
      <c r="J278" s="5" t="s">
        <v>983</v>
      </c>
      <c r="K278" s="5"/>
      <c r="L278" s="5"/>
      <c r="M278" s="5"/>
    </row>
    <row r="279" customFormat="false" ht="15" hidden="false" customHeight="true" outlineLevel="0" collapsed="false">
      <c r="A279" s="15" t="s">
        <v>980</v>
      </c>
      <c r="B279" s="5" t="n">
        <v>183</v>
      </c>
      <c r="C279" s="6" t="s">
        <v>1062</v>
      </c>
      <c r="D279" s="5"/>
      <c r="E279" s="5" t="s">
        <v>1063</v>
      </c>
      <c r="F279" s="5" t="s">
        <v>357</v>
      </c>
      <c r="G279" s="5" t="s">
        <v>17</v>
      </c>
      <c r="H279" s="5" t="s">
        <v>348</v>
      </c>
      <c r="I279" s="8" t="s">
        <v>28</v>
      </c>
      <c r="J279" s="5" t="s">
        <v>983</v>
      </c>
      <c r="K279" s="5"/>
      <c r="L279" s="5"/>
      <c r="M279" s="5"/>
    </row>
    <row r="280" customFormat="false" ht="15" hidden="false" customHeight="true" outlineLevel="0" collapsed="false">
      <c r="A280" s="15" t="s">
        <v>980</v>
      </c>
      <c r="B280" s="5" t="n">
        <v>204</v>
      </c>
      <c r="C280" s="6" t="s">
        <v>1064</v>
      </c>
      <c r="D280" s="5"/>
      <c r="E280" s="5" t="s">
        <v>824</v>
      </c>
      <c r="F280" s="5" t="s">
        <v>1054</v>
      </c>
      <c r="G280" s="5" t="s">
        <v>471</v>
      </c>
      <c r="H280" s="5" t="s">
        <v>471</v>
      </c>
      <c r="I280" s="10" t="s">
        <v>56</v>
      </c>
      <c r="J280" s="5" t="s">
        <v>983</v>
      </c>
      <c r="K280" s="5"/>
      <c r="L280" s="5"/>
      <c r="M280" s="5"/>
    </row>
    <row r="281" customFormat="false" ht="15" hidden="false" customHeight="true" outlineLevel="0" collapsed="false">
      <c r="A281" s="15" t="s">
        <v>980</v>
      </c>
      <c r="B281" s="5" t="n">
        <v>207</v>
      </c>
      <c r="C281" s="6" t="s">
        <v>1065</v>
      </c>
      <c r="D281" s="5"/>
      <c r="E281" s="5" t="s">
        <v>1066</v>
      </c>
      <c r="F281" s="5" t="s">
        <v>395</v>
      </c>
      <c r="G281" s="5" t="s">
        <v>109</v>
      </c>
      <c r="H281" s="5" t="s">
        <v>1067</v>
      </c>
      <c r="I281" s="8" t="s">
        <v>28</v>
      </c>
      <c r="J281" s="5" t="s">
        <v>983</v>
      </c>
      <c r="K281" s="5"/>
      <c r="L281" s="5"/>
      <c r="M281" s="5"/>
    </row>
    <row r="282" customFormat="false" ht="15" hidden="false" customHeight="true" outlineLevel="0" collapsed="false">
      <c r="A282" s="15" t="s">
        <v>980</v>
      </c>
      <c r="B282" s="5" t="n">
        <v>208</v>
      </c>
      <c r="C282" s="6" t="s">
        <v>1068</v>
      </c>
      <c r="D282" s="5"/>
      <c r="E282" s="5" t="s">
        <v>1069</v>
      </c>
      <c r="F282" s="5" t="s">
        <v>854</v>
      </c>
      <c r="G282" s="5" t="s">
        <v>109</v>
      </c>
      <c r="H282" s="5" t="s">
        <v>1070</v>
      </c>
      <c r="I282" s="7" t="s">
        <v>19</v>
      </c>
      <c r="J282" s="5" t="s">
        <v>983</v>
      </c>
      <c r="K282" s="5"/>
      <c r="L282" s="5"/>
      <c r="M282" s="5"/>
    </row>
    <row r="283" customFormat="false" ht="15" hidden="false" customHeight="true" outlineLevel="0" collapsed="false">
      <c r="A283" s="15" t="s">
        <v>980</v>
      </c>
      <c r="B283" s="5" t="n">
        <v>213</v>
      </c>
      <c r="C283" s="6" t="s">
        <v>1071</v>
      </c>
      <c r="D283" s="5"/>
      <c r="E283" s="5" t="s">
        <v>1072</v>
      </c>
      <c r="F283" s="5" t="s">
        <v>118</v>
      </c>
      <c r="G283" s="5" t="s">
        <v>33</v>
      </c>
      <c r="H283" s="5" t="s">
        <v>1073</v>
      </c>
      <c r="I283" s="9" t="s">
        <v>35</v>
      </c>
      <c r="J283" s="5" t="s">
        <v>983</v>
      </c>
      <c r="K283" s="5"/>
      <c r="L283" s="5"/>
      <c r="M283" s="5"/>
    </row>
    <row r="284" customFormat="false" ht="15" hidden="false" customHeight="true" outlineLevel="0" collapsed="false">
      <c r="A284" s="15" t="s">
        <v>980</v>
      </c>
      <c r="B284" s="5" t="n">
        <v>219</v>
      </c>
      <c r="C284" s="6" t="s">
        <v>1074</v>
      </c>
      <c r="D284" s="5" t="s">
        <v>1075</v>
      </c>
      <c r="E284" s="5" t="s">
        <v>1076</v>
      </c>
      <c r="F284" s="5"/>
      <c r="G284" s="5" t="s">
        <v>916</v>
      </c>
      <c r="H284" s="5" t="s">
        <v>1077</v>
      </c>
      <c r="I284" s="7" t="s">
        <v>19</v>
      </c>
      <c r="J284" s="5" t="s">
        <v>983</v>
      </c>
      <c r="K284" s="5"/>
      <c r="L284" s="5"/>
      <c r="M284" s="5"/>
    </row>
    <row r="285" customFormat="false" ht="15" hidden="false" customHeight="true" outlineLevel="0" collapsed="false">
      <c r="A285" s="15" t="s">
        <v>980</v>
      </c>
      <c r="B285" s="5" t="n">
        <v>220</v>
      </c>
      <c r="C285" s="6" t="s">
        <v>1078</v>
      </c>
      <c r="D285" s="5" t="s">
        <v>1079</v>
      </c>
      <c r="E285" s="5" t="s">
        <v>1080</v>
      </c>
      <c r="F285" s="5" t="s">
        <v>357</v>
      </c>
      <c r="G285" s="5" t="s">
        <v>109</v>
      </c>
      <c r="H285" s="5" t="s">
        <v>1081</v>
      </c>
      <c r="I285" s="7" t="s">
        <v>19</v>
      </c>
      <c r="J285" s="5" t="s">
        <v>1082</v>
      </c>
      <c r="K285" s="5"/>
      <c r="L285" s="5"/>
      <c r="M285" s="5"/>
    </row>
    <row r="286" customFormat="false" ht="15" hidden="false" customHeight="true" outlineLevel="0" collapsed="false">
      <c r="A286" s="15" t="s">
        <v>980</v>
      </c>
      <c r="B286" s="5" t="n">
        <v>232</v>
      </c>
      <c r="C286" s="6" t="s">
        <v>1083</v>
      </c>
      <c r="D286" s="5" t="s">
        <v>1084</v>
      </c>
      <c r="E286" s="5" t="s">
        <v>1085</v>
      </c>
      <c r="F286" s="5" t="s">
        <v>357</v>
      </c>
      <c r="G286" s="5" t="s">
        <v>17</v>
      </c>
      <c r="H286" s="5" t="s">
        <v>1039</v>
      </c>
      <c r="I286" s="10" t="s">
        <v>56</v>
      </c>
      <c r="J286" s="5" t="s">
        <v>983</v>
      </c>
      <c r="K286" s="5" t="s">
        <v>21</v>
      </c>
      <c r="L286" s="5"/>
      <c r="M286" s="5" t="s">
        <v>36</v>
      </c>
    </row>
    <row r="287" customFormat="false" ht="34.5" hidden="false" customHeight="true" outlineLevel="0" collapsed="false">
      <c r="A287" s="15" t="s">
        <v>980</v>
      </c>
      <c r="B287" s="5" t="n">
        <v>234</v>
      </c>
      <c r="C287" s="6" t="s">
        <v>1086</v>
      </c>
      <c r="D287" s="5"/>
      <c r="E287" s="5" t="s">
        <v>1087</v>
      </c>
      <c r="F287" s="5" t="s">
        <v>304</v>
      </c>
      <c r="G287" s="5" t="s">
        <v>139</v>
      </c>
      <c r="H287" s="5" t="s">
        <v>1029</v>
      </c>
      <c r="I287" s="8" t="s">
        <v>28</v>
      </c>
      <c r="J287" s="5" t="s">
        <v>983</v>
      </c>
      <c r="K287" s="5"/>
      <c r="L287" s="5"/>
      <c r="M287" s="5"/>
    </row>
    <row r="288" customFormat="false" ht="23.25" hidden="false" customHeight="true" outlineLevel="0" collapsed="false">
      <c r="A288" s="15" t="s">
        <v>980</v>
      </c>
      <c r="B288" s="5" t="n">
        <v>236</v>
      </c>
      <c r="C288" s="6" t="s">
        <v>1088</v>
      </c>
      <c r="D288" s="5" t="s">
        <v>1089</v>
      </c>
      <c r="E288" s="5" t="s">
        <v>1090</v>
      </c>
      <c r="F288" s="5" t="s">
        <v>295</v>
      </c>
      <c r="G288" s="5" t="s">
        <v>17</v>
      </c>
      <c r="H288" s="5" t="s">
        <v>1091</v>
      </c>
      <c r="I288" s="8" t="s">
        <v>28</v>
      </c>
      <c r="J288" s="5" t="s">
        <v>983</v>
      </c>
      <c r="K288" s="5"/>
      <c r="L288" s="5"/>
      <c r="M288" s="5"/>
    </row>
    <row r="289" customFormat="false" ht="23.25" hidden="false" customHeight="true" outlineLevel="0" collapsed="false">
      <c r="A289" s="15" t="s">
        <v>980</v>
      </c>
      <c r="B289" s="5" t="n">
        <v>240</v>
      </c>
      <c r="C289" s="6" t="s">
        <v>1092</v>
      </c>
      <c r="D289" s="5" t="s">
        <v>1093</v>
      </c>
      <c r="E289" s="5" t="s">
        <v>1094</v>
      </c>
      <c r="F289" s="5" t="s">
        <v>357</v>
      </c>
      <c r="G289" s="5" t="s">
        <v>17</v>
      </c>
      <c r="H289" s="5" t="s">
        <v>1095</v>
      </c>
      <c r="I289" s="8" t="s">
        <v>28</v>
      </c>
      <c r="J289" s="5" t="s">
        <v>983</v>
      </c>
      <c r="K289" s="5"/>
      <c r="L289" s="5"/>
      <c r="M289" s="5"/>
    </row>
    <row r="290" customFormat="false" ht="23.25" hidden="false" customHeight="true" outlineLevel="0" collapsed="false">
      <c r="A290" s="15" t="s">
        <v>980</v>
      </c>
      <c r="B290" s="5" t="n">
        <v>251</v>
      </c>
      <c r="C290" s="6" t="s">
        <v>1096</v>
      </c>
      <c r="D290" s="5" t="s">
        <v>1097</v>
      </c>
      <c r="E290" s="5" t="s">
        <v>1098</v>
      </c>
      <c r="F290" s="5" t="s">
        <v>1099</v>
      </c>
      <c r="G290" s="5" t="s">
        <v>1100</v>
      </c>
      <c r="H290" s="5" t="s">
        <v>1100</v>
      </c>
      <c r="I290" s="7" t="s">
        <v>19</v>
      </c>
      <c r="J290" s="5" t="s">
        <v>983</v>
      </c>
      <c r="K290" s="5"/>
      <c r="L290" s="5"/>
      <c r="M290" s="5"/>
    </row>
    <row r="291" customFormat="false" ht="15" hidden="false" customHeight="true" outlineLevel="0" collapsed="false">
      <c r="A291" s="15" t="s">
        <v>980</v>
      </c>
      <c r="B291" s="5" t="n">
        <v>259</v>
      </c>
      <c r="C291" s="6" t="s">
        <v>1101</v>
      </c>
      <c r="D291" s="5"/>
      <c r="E291" s="5" t="s">
        <v>1102</v>
      </c>
      <c r="F291" s="5" t="s">
        <v>357</v>
      </c>
      <c r="G291" s="5" t="s">
        <v>17</v>
      </c>
      <c r="H291" s="5" t="s">
        <v>252</v>
      </c>
      <c r="I291" s="8" t="s">
        <v>28</v>
      </c>
      <c r="J291" s="5" t="s">
        <v>983</v>
      </c>
      <c r="K291" s="5"/>
      <c r="L291" s="5"/>
      <c r="M291" s="5"/>
    </row>
    <row r="292" customFormat="false" ht="15" hidden="false" customHeight="true" outlineLevel="0" collapsed="false">
      <c r="A292" s="15" t="s">
        <v>980</v>
      </c>
      <c r="B292" s="5" t="n">
        <v>261</v>
      </c>
      <c r="C292" s="6" t="s">
        <v>1103</v>
      </c>
      <c r="D292" s="5"/>
      <c r="E292" s="5" t="s">
        <v>1104</v>
      </c>
      <c r="F292" s="5" t="s">
        <v>304</v>
      </c>
      <c r="G292" s="5" t="s">
        <v>33</v>
      </c>
      <c r="H292" s="5" t="s">
        <v>1105</v>
      </c>
      <c r="I292" s="9" t="s">
        <v>35</v>
      </c>
      <c r="J292" s="5" t="s">
        <v>983</v>
      </c>
      <c r="K292" s="5"/>
      <c r="L292" s="5"/>
      <c r="M292" s="5"/>
    </row>
    <row r="293" customFormat="false" ht="15" hidden="false" customHeight="true" outlineLevel="0" collapsed="false">
      <c r="A293" s="15" t="s">
        <v>980</v>
      </c>
      <c r="B293" s="5" t="n">
        <v>262</v>
      </c>
      <c r="C293" s="6" t="s">
        <v>1106</v>
      </c>
      <c r="D293" s="5" t="s">
        <v>1107</v>
      </c>
      <c r="E293" s="5" t="s">
        <v>1108</v>
      </c>
      <c r="F293" s="5" t="s">
        <v>519</v>
      </c>
      <c r="G293" s="5" t="s">
        <v>17</v>
      </c>
      <c r="H293" s="5" t="s">
        <v>1109</v>
      </c>
      <c r="I293" s="8" t="s">
        <v>28</v>
      </c>
      <c r="J293" s="5" t="s">
        <v>983</v>
      </c>
      <c r="K293" s="5"/>
      <c r="L293" s="5"/>
      <c r="M293" s="5"/>
    </row>
    <row r="294" customFormat="false" ht="15" hidden="false" customHeight="true" outlineLevel="0" collapsed="false">
      <c r="A294" s="15" t="s">
        <v>980</v>
      </c>
      <c r="B294" s="5" t="n">
        <v>263</v>
      </c>
      <c r="C294" s="6" t="s">
        <v>1110</v>
      </c>
      <c r="D294" s="5"/>
      <c r="E294" s="5" t="s">
        <v>1111</v>
      </c>
      <c r="F294" s="5" t="s">
        <v>291</v>
      </c>
      <c r="G294" s="5" t="s">
        <v>139</v>
      </c>
      <c r="H294" s="5" t="s">
        <v>139</v>
      </c>
      <c r="I294" s="10" t="s">
        <v>56</v>
      </c>
      <c r="J294" s="5" t="s">
        <v>983</v>
      </c>
      <c r="K294" s="5"/>
      <c r="L294" s="5"/>
      <c r="M294" s="5"/>
    </row>
    <row r="295" customFormat="false" ht="15" hidden="false" customHeight="true" outlineLevel="0" collapsed="false">
      <c r="A295" s="15" t="s">
        <v>980</v>
      </c>
      <c r="B295" s="5" t="n">
        <v>266</v>
      </c>
      <c r="C295" s="6" t="s">
        <v>1112</v>
      </c>
      <c r="D295" s="5"/>
      <c r="E295" s="5" t="s">
        <v>1113</v>
      </c>
      <c r="F295" s="5" t="s">
        <v>796</v>
      </c>
      <c r="G295" s="5" t="s">
        <v>17</v>
      </c>
      <c r="H295" s="5" t="s">
        <v>161</v>
      </c>
      <c r="I295" s="7" t="s">
        <v>19</v>
      </c>
      <c r="J295" s="5" t="s">
        <v>983</v>
      </c>
      <c r="K295" s="5"/>
      <c r="L295" s="5"/>
      <c r="M295" s="5"/>
    </row>
    <row r="296" customFormat="false" ht="15" hidden="false" customHeight="true" outlineLevel="0" collapsed="false">
      <c r="A296" s="15" t="s">
        <v>980</v>
      </c>
      <c r="B296" s="5" t="n">
        <v>270</v>
      </c>
      <c r="C296" s="6" t="s">
        <v>1114</v>
      </c>
      <c r="D296" s="5"/>
      <c r="E296" s="5" t="s">
        <v>1115</v>
      </c>
      <c r="F296" s="5" t="s">
        <v>357</v>
      </c>
      <c r="G296" s="5" t="s">
        <v>17</v>
      </c>
      <c r="H296" s="5" t="s">
        <v>190</v>
      </c>
      <c r="I296" s="8" t="s">
        <v>28</v>
      </c>
      <c r="J296" s="5" t="s">
        <v>983</v>
      </c>
      <c r="K296" s="5"/>
      <c r="L296" s="5"/>
      <c r="M296" s="5"/>
    </row>
    <row r="297" customFormat="false" ht="23.25" hidden="false" customHeight="true" outlineLevel="0" collapsed="false">
      <c r="A297" s="15" t="s">
        <v>980</v>
      </c>
      <c r="B297" s="5" t="n">
        <v>281</v>
      </c>
      <c r="C297" s="6" t="s">
        <v>1116</v>
      </c>
      <c r="D297" s="5"/>
      <c r="E297" s="5" t="s">
        <v>597</v>
      </c>
      <c r="F297" s="5" t="s">
        <v>357</v>
      </c>
      <c r="G297" s="5" t="s">
        <v>139</v>
      </c>
      <c r="H297" s="5" t="s">
        <v>1117</v>
      </c>
      <c r="I297" s="9" t="s">
        <v>35</v>
      </c>
      <c r="J297" s="5" t="s">
        <v>983</v>
      </c>
      <c r="K297" s="5"/>
      <c r="L297" s="5"/>
      <c r="M297" s="5"/>
    </row>
    <row r="298" customFormat="false" ht="15" hidden="false" customHeight="true" outlineLevel="0" collapsed="false">
      <c r="A298" s="15" t="s">
        <v>980</v>
      </c>
      <c r="B298" s="5" t="n">
        <v>304</v>
      </c>
      <c r="C298" s="6" t="s">
        <v>1118</v>
      </c>
      <c r="D298" s="5"/>
      <c r="E298" s="5" t="s">
        <v>1119</v>
      </c>
      <c r="F298" s="5" t="s">
        <v>357</v>
      </c>
      <c r="G298" s="5" t="s">
        <v>17</v>
      </c>
      <c r="H298" s="5" t="s">
        <v>202</v>
      </c>
      <c r="I298" s="8" t="s">
        <v>28</v>
      </c>
      <c r="J298" s="5" t="s">
        <v>983</v>
      </c>
      <c r="K298" s="5"/>
      <c r="L298" s="5"/>
      <c r="M298" s="5"/>
    </row>
    <row r="299" customFormat="false" ht="23.25" hidden="false" customHeight="true" outlineLevel="0" collapsed="false">
      <c r="A299" s="15" t="s">
        <v>980</v>
      </c>
      <c r="B299" s="5" t="n">
        <v>311</v>
      </c>
      <c r="C299" s="6" t="s">
        <v>1120</v>
      </c>
      <c r="D299" s="5"/>
      <c r="E299" s="5" t="s">
        <v>1121</v>
      </c>
      <c r="F299" s="5" t="s">
        <v>569</v>
      </c>
      <c r="G299" s="5" t="s">
        <v>17</v>
      </c>
      <c r="H299" s="5" t="s">
        <v>1122</v>
      </c>
      <c r="I299" s="10" t="s">
        <v>56</v>
      </c>
      <c r="J299" s="5" t="s">
        <v>983</v>
      </c>
      <c r="K299" s="5"/>
      <c r="L299" s="5"/>
      <c r="M299" s="5"/>
    </row>
    <row r="300" customFormat="false" ht="15" hidden="false" customHeight="true" outlineLevel="0" collapsed="false">
      <c r="A300" s="15" t="s">
        <v>980</v>
      </c>
      <c r="B300" s="5" t="n">
        <v>322</v>
      </c>
      <c r="C300" s="6" t="s">
        <v>1123</v>
      </c>
      <c r="D300" s="5" t="s">
        <v>1124</v>
      </c>
      <c r="E300" s="5" t="s">
        <v>1094</v>
      </c>
      <c r="F300" s="5" t="s">
        <v>201</v>
      </c>
      <c r="G300" s="5" t="s">
        <v>139</v>
      </c>
      <c r="H300" s="5" t="s">
        <v>139</v>
      </c>
      <c r="I300" s="9" t="s">
        <v>35</v>
      </c>
      <c r="J300" s="5" t="s">
        <v>983</v>
      </c>
      <c r="K300" s="5"/>
      <c r="L300" s="5"/>
      <c r="M300" s="5"/>
    </row>
    <row r="301" customFormat="false" ht="15" hidden="false" customHeight="true" outlineLevel="0" collapsed="false">
      <c r="A301" s="15" t="s">
        <v>980</v>
      </c>
      <c r="B301" s="5" t="n">
        <v>331</v>
      </c>
      <c r="C301" s="6" t="s">
        <v>1125</v>
      </c>
      <c r="D301" s="5" t="s">
        <v>1126</v>
      </c>
      <c r="E301" s="5" t="s">
        <v>1127</v>
      </c>
      <c r="F301" s="5" t="s">
        <v>1128</v>
      </c>
      <c r="G301" s="5" t="s">
        <v>17</v>
      </c>
      <c r="H301" s="5" t="s">
        <v>1129</v>
      </c>
      <c r="I301" s="10" t="s">
        <v>56</v>
      </c>
      <c r="J301" s="5" t="s">
        <v>983</v>
      </c>
      <c r="K301" s="5"/>
      <c r="L301" s="5"/>
      <c r="M301" s="5"/>
    </row>
    <row r="302" customFormat="false" ht="23.25" hidden="false" customHeight="true" outlineLevel="0" collapsed="false">
      <c r="A302" s="16" t="s">
        <v>1130</v>
      </c>
      <c r="B302" s="5" t="n">
        <v>8</v>
      </c>
      <c r="C302" s="6" t="s">
        <v>1131</v>
      </c>
      <c r="D302" s="5"/>
      <c r="E302" s="5" t="s">
        <v>1132</v>
      </c>
      <c r="F302" s="5" t="s">
        <v>184</v>
      </c>
      <c r="G302" s="5" t="s">
        <v>109</v>
      </c>
      <c r="H302" s="5" t="s">
        <v>1133</v>
      </c>
      <c r="I302" s="9" t="s">
        <v>35</v>
      </c>
      <c r="J302" s="5" t="s">
        <v>1134</v>
      </c>
      <c r="K302" s="5"/>
      <c r="L302" s="5"/>
      <c r="M302" s="5"/>
    </row>
    <row r="303" customFormat="false" ht="15" hidden="false" customHeight="true" outlineLevel="0" collapsed="false">
      <c r="A303" s="16" t="s">
        <v>1130</v>
      </c>
      <c r="B303" s="5" t="n">
        <v>24</v>
      </c>
      <c r="C303" s="6" t="s">
        <v>1135</v>
      </c>
      <c r="D303" s="5"/>
      <c r="E303" s="5" t="s">
        <v>1136</v>
      </c>
      <c r="F303" s="5" t="s">
        <v>669</v>
      </c>
      <c r="G303" s="5" t="s">
        <v>1100</v>
      </c>
      <c r="H303" s="5" t="s">
        <v>1137</v>
      </c>
      <c r="I303" s="9" t="s">
        <v>35</v>
      </c>
      <c r="J303" s="5" t="s">
        <v>1138</v>
      </c>
      <c r="K303" s="5"/>
      <c r="L303" s="5"/>
      <c r="M303" s="5"/>
    </row>
    <row r="304" customFormat="false" ht="23.25" hidden="false" customHeight="true" outlineLevel="0" collapsed="false">
      <c r="A304" s="16" t="s">
        <v>1130</v>
      </c>
      <c r="B304" s="5" t="n">
        <v>37</v>
      </c>
      <c r="C304" s="6" t="s">
        <v>1139</v>
      </c>
      <c r="D304" s="5"/>
      <c r="E304" s="5" t="s">
        <v>1140</v>
      </c>
      <c r="F304" s="5" t="s">
        <v>284</v>
      </c>
      <c r="G304" s="5" t="s">
        <v>1013</v>
      </c>
      <c r="H304" s="5" t="s">
        <v>1141</v>
      </c>
      <c r="I304" s="10" t="s">
        <v>56</v>
      </c>
      <c r="J304" s="5" t="s">
        <v>1015</v>
      </c>
      <c r="K304" s="5"/>
      <c r="L304" s="5"/>
      <c r="M304" s="5"/>
    </row>
    <row r="305" customFormat="false" ht="15" hidden="false" customHeight="true" outlineLevel="0" collapsed="false">
      <c r="A305" s="16" t="s">
        <v>1130</v>
      </c>
      <c r="B305" s="5" t="n">
        <v>61</v>
      </c>
      <c r="C305" s="6" t="s">
        <v>1142</v>
      </c>
      <c r="D305" s="5"/>
      <c r="E305" s="5" t="s">
        <v>1143</v>
      </c>
      <c r="F305" s="5" t="s">
        <v>1144</v>
      </c>
      <c r="G305" s="5" t="s">
        <v>885</v>
      </c>
      <c r="H305" s="5" t="s">
        <v>885</v>
      </c>
      <c r="I305" s="9" t="s">
        <v>35</v>
      </c>
      <c r="J305" s="5" t="s">
        <v>1145</v>
      </c>
      <c r="K305" s="5"/>
      <c r="L305" s="5"/>
      <c r="M305" s="5"/>
    </row>
    <row r="306" customFormat="false" ht="15" hidden="false" customHeight="true" outlineLevel="0" collapsed="false">
      <c r="A306" s="16" t="s">
        <v>1130</v>
      </c>
      <c r="B306" s="5" t="n">
        <v>64</v>
      </c>
      <c r="C306" s="6" t="s">
        <v>1146</v>
      </c>
      <c r="D306" s="5"/>
      <c r="E306" s="5" t="s">
        <v>1147</v>
      </c>
      <c r="F306" s="5" t="s">
        <v>304</v>
      </c>
      <c r="G306" s="5" t="s">
        <v>1148</v>
      </c>
      <c r="H306" s="5" t="s">
        <v>1149</v>
      </c>
      <c r="I306" s="9" t="s">
        <v>35</v>
      </c>
      <c r="J306" s="5" t="s">
        <v>1150</v>
      </c>
      <c r="K306" s="5"/>
      <c r="L306" s="5"/>
      <c r="M306" s="5"/>
    </row>
    <row r="307" customFormat="false" ht="15" hidden="false" customHeight="true" outlineLevel="0" collapsed="false">
      <c r="A307" s="16" t="s">
        <v>1130</v>
      </c>
      <c r="B307" s="5" t="n">
        <v>67</v>
      </c>
      <c r="C307" s="6" t="s">
        <v>1151</v>
      </c>
      <c r="D307" s="5"/>
      <c r="E307" s="5" t="s">
        <v>1152</v>
      </c>
      <c r="F307" s="5" t="s">
        <v>184</v>
      </c>
      <c r="G307" s="5" t="s">
        <v>471</v>
      </c>
      <c r="H307" s="5" t="s">
        <v>1153</v>
      </c>
      <c r="I307" s="8" t="s">
        <v>28</v>
      </c>
      <c r="J307" s="5" t="s">
        <v>471</v>
      </c>
      <c r="K307" s="5"/>
      <c r="L307" s="5"/>
      <c r="M307" s="5"/>
    </row>
    <row r="308" customFormat="false" ht="15" hidden="false" customHeight="true" outlineLevel="0" collapsed="false">
      <c r="A308" s="16" t="s">
        <v>1130</v>
      </c>
      <c r="B308" s="5" t="n">
        <v>70</v>
      </c>
      <c r="C308" s="6" t="s">
        <v>1154</v>
      </c>
      <c r="D308" s="5"/>
      <c r="E308" s="5" t="s">
        <v>1155</v>
      </c>
      <c r="F308" s="5" t="s">
        <v>357</v>
      </c>
      <c r="G308" s="5" t="s">
        <v>1156</v>
      </c>
      <c r="H308" s="5" t="s">
        <v>1157</v>
      </c>
      <c r="I308" s="8" t="s">
        <v>28</v>
      </c>
      <c r="J308" s="5" t="s">
        <v>1158</v>
      </c>
      <c r="K308" s="5"/>
      <c r="L308" s="5"/>
      <c r="M308" s="5"/>
    </row>
    <row r="309" customFormat="false" ht="15" hidden="false" customHeight="true" outlineLevel="0" collapsed="false">
      <c r="A309" s="16" t="s">
        <v>1130</v>
      </c>
      <c r="B309" s="5" t="n">
        <v>75</v>
      </c>
      <c r="C309" s="6" t="s">
        <v>1159</v>
      </c>
      <c r="D309" s="5"/>
      <c r="E309" s="5" t="s">
        <v>1160</v>
      </c>
      <c r="F309" s="5" t="s">
        <v>569</v>
      </c>
      <c r="G309" s="5" t="s">
        <v>1161</v>
      </c>
      <c r="H309" s="5" t="s">
        <v>1162</v>
      </c>
      <c r="I309" s="8" t="s">
        <v>28</v>
      </c>
      <c r="J309" s="5" t="s">
        <v>1163</v>
      </c>
      <c r="K309" s="5"/>
      <c r="L309" s="5"/>
      <c r="M309" s="5"/>
    </row>
    <row r="310" customFormat="false" ht="23.25" hidden="false" customHeight="true" outlineLevel="0" collapsed="false">
      <c r="A310" s="16" t="s">
        <v>1130</v>
      </c>
      <c r="B310" s="5" t="n">
        <v>76</v>
      </c>
      <c r="C310" s="6" t="s">
        <v>1164</v>
      </c>
      <c r="D310" s="5"/>
      <c r="E310" s="5" t="s">
        <v>1165</v>
      </c>
      <c r="F310" s="5" t="s">
        <v>357</v>
      </c>
      <c r="G310" s="5" t="s">
        <v>109</v>
      </c>
      <c r="H310" s="5" t="s">
        <v>1166</v>
      </c>
      <c r="I310" s="8" t="s">
        <v>28</v>
      </c>
      <c r="J310" s="5" t="s">
        <v>1167</v>
      </c>
      <c r="K310" s="5"/>
      <c r="L310" s="5"/>
      <c r="M310" s="5"/>
    </row>
    <row r="311" customFormat="false" ht="34.5" hidden="false" customHeight="true" outlineLevel="0" collapsed="false">
      <c r="A311" s="16" t="s">
        <v>1130</v>
      </c>
      <c r="B311" s="5" t="n">
        <v>87</v>
      </c>
      <c r="C311" s="6" t="s">
        <v>1168</v>
      </c>
      <c r="D311" s="5"/>
      <c r="E311" s="5" t="s">
        <v>1169</v>
      </c>
      <c r="F311" s="5" t="s">
        <v>304</v>
      </c>
      <c r="G311" s="5" t="s">
        <v>708</v>
      </c>
      <c r="H311" s="5" t="s">
        <v>1170</v>
      </c>
      <c r="I311" s="9" t="s">
        <v>35</v>
      </c>
      <c r="J311" s="5" t="s">
        <v>1171</v>
      </c>
      <c r="K311" s="5"/>
      <c r="L311" s="5"/>
      <c r="M311" s="5"/>
    </row>
    <row r="312" customFormat="false" ht="15" hidden="false" customHeight="true" outlineLevel="0" collapsed="false">
      <c r="A312" s="16" t="s">
        <v>1130</v>
      </c>
      <c r="B312" s="5" t="n">
        <v>90</v>
      </c>
      <c r="C312" s="6" t="s">
        <v>1172</v>
      </c>
      <c r="D312" s="5" t="s">
        <v>1173</v>
      </c>
      <c r="E312" s="5" t="s">
        <v>1174</v>
      </c>
      <c r="F312" s="5" t="s">
        <v>1175</v>
      </c>
      <c r="G312" s="5" t="s">
        <v>934</v>
      </c>
      <c r="H312" s="5" t="s">
        <v>1176</v>
      </c>
      <c r="I312" s="9" t="s">
        <v>35</v>
      </c>
      <c r="J312" s="5" t="s">
        <v>1177</v>
      </c>
      <c r="K312" s="5"/>
      <c r="L312" s="5"/>
      <c r="M312" s="5"/>
    </row>
    <row r="313" customFormat="false" ht="15" hidden="false" customHeight="true" outlineLevel="0" collapsed="false">
      <c r="A313" s="16" t="s">
        <v>1130</v>
      </c>
      <c r="B313" s="5" t="n">
        <v>94</v>
      </c>
      <c r="C313" s="6" t="s">
        <v>1178</v>
      </c>
      <c r="D313" s="5"/>
      <c r="E313" s="5" t="s">
        <v>1179</v>
      </c>
      <c r="F313" s="5" t="s">
        <v>780</v>
      </c>
      <c r="G313" s="5" t="s">
        <v>471</v>
      </c>
      <c r="H313" s="5" t="s">
        <v>1005</v>
      </c>
      <c r="I313" s="10" t="s">
        <v>56</v>
      </c>
      <c r="J313" s="5" t="s">
        <v>1006</v>
      </c>
      <c r="K313" s="5"/>
      <c r="L313" s="5"/>
      <c r="M313" s="5"/>
    </row>
    <row r="314" customFormat="false" ht="15" hidden="false" customHeight="true" outlineLevel="0" collapsed="false">
      <c r="A314" s="16" t="s">
        <v>1130</v>
      </c>
      <c r="B314" s="5" t="n">
        <v>97</v>
      </c>
      <c r="C314" s="6" t="s">
        <v>1180</v>
      </c>
      <c r="D314" s="5"/>
      <c r="E314" s="5" t="s">
        <v>1181</v>
      </c>
      <c r="F314" s="5" t="s">
        <v>569</v>
      </c>
      <c r="G314" s="5" t="s">
        <v>109</v>
      </c>
      <c r="H314" s="5" t="s">
        <v>1182</v>
      </c>
      <c r="I314" s="10" t="s">
        <v>56</v>
      </c>
      <c r="J314" s="5" t="s">
        <v>1183</v>
      </c>
      <c r="K314" s="5"/>
      <c r="L314" s="5"/>
      <c r="M314" s="5"/>
    </row>
    <row r="315" customFormat="false" ht="15" hidden="false" customHeight="true" outlineLevel="0" collapsed="false">
      <c r="A315" s="16" t="s">
        <v>1130</v>
      </c>
      <c r="B315" s="5" t="n">
        <v>106</v>
      </c>
      <c r="C315" s="6" t="s">
        <v>1184</v>
      </c>
      <c r="D315" s="5" t="s">
        <v>1185</v>
      </c>
      <c r="E315" s="5" t="s">
        <v>1186</v>
      </c>
      <c r="F315" s="5" t="s">
        <v>352</v>
      </c>
      <c r="G315" s="5" t="s">
        <v>471</v>
      </c>
      <c r="H315" s="5" t="s">
        <v>1187</v>
      </c>
      <c r="I315" s="7" t="s">
        <v>19</v>
      </c>
      <c r="J315" s="5" t="s">
        <v>1188</v>
      </c>
      <c r="K315" s="5"/>
      <c r="L315" s="5"/>
      <c r="M315" s="5"/>
    </row>
    <row r="316" customFormat="false" ht="15" hidden="false" customHeight="true" outlineLevel="0" collapsed="false">
      <c r="A316" s="16" t="s">
        <v>1130</v>
      </c>
      <c r="B316" s="5" t="n">
        <v>115</v>
      </c>
      <c r="C316" s="6" t="s">
        <v>1189</v>
      </c>
      <c r="D316" s="5"/>
      <c r="E316" s="5" t="s">
        <v>1190</v>
      </c>
      <c r="F316" s="5" t="s">
        <v>295</v>
      </c>
      <c r="G316" s="5" t="s">
        <v>109</v>
      </c>
      <c r="H316" s="5" t="s">
        <v>1191</v>
      </c>
      <c r="I316" s="10" t="s">
        <v>56</v>
      </c>
      <c r="J316" s="5" t="s">
        <v>1192</v>
      </c>
      <c r="K316" s="5"/>
      <c r="L316" s="5"/>
      <c r="M316" s="5"/>
    </row>
    <row r="317" customFormat="false" ht="15" hidden="false" customHeight="true" outlineLevel="0" collapsed="false">
      <c r="A317" s="16" t="s">
        <v>1130</v>
      </c>
      <c r="B317" s="5" t="n">
        <v>123</v>
      </c>
      <c r="C317" s="6" t="s">
        <v>1193</v>
      </c>
      <c r="D317" s="5"/>
      <c r="E317" s="5" t="s">
        <v>1194</v>
      </c>
      <c r="F317" s="5" t="s">
        <v>357</v>
      </c>
      <c r="G317" s="5" t="s">
        <v>109</v>
      </c>
      <c r="H317" s="5" t="s">
        <v>1195</v>
      </c>
      <c r="I317" s="9" t="s">
        <v>35</v>
      </c>
      <c r="J317" s="5" t="s">
        <v>1196</v>
      </c>
      <c r="K317" s="5"/>
      <c r="L317" s="5"/>
      <c r="M317" s="5"/>
    </row>
    <row r="318" customFormat="false" ht="15" hidden="false" customHeight="true" outlineLevel="0" collapsed="false">
      <c r="A318" s="16" t="s">
        <v>1130</v>
      </c>
      <c r="B318" s="5" t="n">
        <v>127</v>
      </c>
      <c r="C318" s="6" t="s">
        <v>1197</v>
      </c>
      <c r="D318" s="5" t="s">
        <v>1198</v>
      </c>
      <c r="E318" s="5" t="s">
        <v>1190</v>
      </c>
      <c r="F318" s="5" t="s">
        <v>357</v>
      </c>
      <c r="G318" s="5" t="s">
        <v>139</v>
      </c>
      <c r="H318" s="5" t="s">
        <v>1199</v>
      </c>
      <c r="I318" s="10" t="s">
        <v>56</v>
      </c>
      <c r="J318" s="5" t="s">
        <v>1199</v>
      </c>
      <c r="K318" s="5"/>
      <c r="L318" s="5"/>
      <c r="M318" s="5"/>
    </row>
    <row r="319" customFormat="false" ht="15" hidden="false" customHeight="true" outlineLevel="0" collapsed="false">
      <c r="A319" s="16" t="s">
        <v>1130</v>
      </c>
      <c r="B319" s="5" t="n">
        <v>134</v>
      </c>
      <c r="C319" s="6" t="s">
        <v>1200</v>
      </c>
      <c r="D319" s="5"/>
      <c r="E319" s="5" t="s">
        <v>1201</v>
      </c>
      <c r="F319" s="5" t="s">
        <v>1202</v>
      </c>
      <c r="G319" s="5" t="s">
        <v>139</v>
      </c>
      <c r="H319" s="5" t="s">
        <v>1203</v>
      </c>
      <c r="I319" s="9" t="s">
        <v>35</v>
      </c>
      <c r="J319" s="5" t="s">
        <v>1204</v>
      </c>
      <c r="K319" s="5"/>
      <c r="L319" s="5"/>
      <c r="M319" s="5"/>
    </row>
    <row r="320" customFormat="false" ht="15" hidden="false" customHeight="true" outlineLevel="0" collapsed="false">
      <c r="A320" s="16" t="s">
        <v>1130</v>
      </c>
      <c r="B320" s="5" t="n">
        <v>138</v>
      </c>
      <c r="C320" s="6" t="s">
        <v>1205</v>
      </c>
      <c r="D320" s="5"/>
      <c r="E320" s="5" t="s">
        <v>1206</v>
      </c>
      <c r="F320" s="5" t="s">
        <v>602</v>
      </c>
      <c r="G320" s="5" t="s">
        <v>885</v>
      </c>
      <c r="H320" s="5" t="s">
        <v>885</v>
      </c>
      <c r="I320" s="9" t="s">
        <v>35</v>
      </c>
      <c r="J320" s="5" t="s">
        <v>1207</v>
      </c>
      <c r="K320" s="5"/>
      <c r="L320" s="5"/>
      <c r="M320" s="5"/>
    </row>
    <row r="321" customFormat="false" ht="15" hidden="false" customHeight="true" outlineLevel="0" collapsed="false">
      <c r="A321" s="16" t="s">
        <v>1130</v>
      </c>
      <c r="B321" s="5" t="n">
        <v>143</v>
      </c>
      <c r="C321" s="6" t="s">
        <v>1208</v>
      </c>
      <c r="D321" s="5"/>
      <c r="E321" s="5" t="s">
        <v>1041</v>
      </c>
      <c r="F321" s="5" t="s">
        <v>441</v>
      </c>
      <c r="G321" s="5" t="s">
        <v>139</v>
      </c>
      <c r="H321" s="5" t="s">
        <v>139</v>
      </c>
      <c r="I321" s="9" t="s">
        <v>35</v>
      </c>
      <c r="J321" s="5" t="s">
        <v>1209</v>
      </c>
      <c r="K321" s="5"/>
      <c r="L321" s="5"/>
      <c r="M321" s="5"/>
    </row>
    <row r="322" customFormat="false" ht="23.25" hidden="false" customHeight="true" outlineLevel="0" collapsed="false">
      <c r="A322" s="16" t="s">
        <v>1130</v>
      </c>
      <c r="B322" s="5" t="n">
        <v>146</v>
      </c>
      <c r="C322" s="6" t="s">
        <v>1210</v>
      </c>
      <c r="D322" s="5"/>
      <c r="E322" s="5" t="s">
        <v>1211</v>
      </c>
      <c r="F322" s="5" t="s">
        <v>1212</v>
      </c>
      <c r="G322" s="5" t="s">
        <v>1156</v>
      </c>
      <c r="H322" s="5" t="s">
        <v>1157</v>
      </c>
      <c r="I322" s="8" t="s">
        <v>28</v>
      </c>
      <c r="J322" s="5" t="s">
        <v>1158</v>
      </c>
      <c r="K322" s="5"/>
      <c r="L322" s="5"/>
      <c r="M322" s="5"/>
    </row>
    <row r="323" customFormat="false" ht="15" hidden="false" customHeight="true" outlineLevel="0" collapsed="false">
      <c r="A323" s="16" t="s">
        <v>1130</v>
      </c>
      <c r="B323" s="5" t="n">
        <v>162</v>
      </c>
      <c r="C323" s="6" t="s">
        <v>1213</v>
      </c>
      <c r="D323" s="5"/>
      <c r="E323" s="5" t="s">
        <v>1214</v>
      </c>
      <c r="F323" s="5" t="s">
        <v>357</v>
      </c>
      <c r="G323" s="5" t="s">
        <v>109</v>
      </c>
      <c r="H323" s="5" t="s">
        <v>1215</v>
      </c>
      <c r="I323" s="9" t="s">
        <v>35</v>
      </c>
      <c r="J323" s="5" t="s">
        <v>1196</v>
      </c>
      <c r="K323" s="5"/>
      <c r="L323" s="5"/>
      <c r="M323" s="5"/>
    </row>
    <row r="324" customFormat="false" ht="15" hidden="false" customHeight="true" outlineLevel="0" collapsed="false">
      <c r="A324" s="16" t="s">
        <v>1130</v>
      </c>
      <c r="B324" s="5" t="n">
        <v>168</v>
      </c>
      <c r="C324" s="6" t="s">
        <v>1216</v>
      </c>
      <c r="D324" s="5"/>
      <c r="E324" s="5" t="s">
        <v>1217</v>
      </c>
      <c r="F324" s="5" t="s">
        <v>347</v>
      </c>
      <c r="G324" s="5" t="s">
        <v>885</v>
      </c>
      <c r="H324" s="5" t="s">
        <v>885</v>
      </c>
      <c r="I324" s="7" t="s">
        <v>19</v>
      </c>
      <c r="J324" s="5" t="s">
        <v>1218</v>
      </c>
      <c r="K324" s="5"/>
      <c r="L324" s="5"/>
      <c r="M324" s="5"/>
    </row>
    <row r="325" customFormat="false" ht="15" hidden="false" customHeight="true" outlineLevel="0" collapsed="false">
      <c r="A325" s="16" t="s">
        <v>1130</v>
      </c>
      <c r="B325" s="5" t="n">
        <v>171</v>
      </c>
      <c r="C325" s="6" t="s">
        <v>1219</v>
      </c>
      <c r="D325" s="5"/>
      <c r="E325" s="5" t="s">
        <v>1220</v>
      </c>
      <c r="F325" s="5" t="s">
        <v>569</v>
      </c>
      <c r="G325" s="5" t="s">
        <v>17</v>
      </c>
      <c r="H325" s="5" t="s">
        <v>1153</v>
      </c>
      <c r="I325" s="8" t="s">
        <v>28</v>
      </c>
      <c r="J325" s="5" t="s">
        <v>1221</v>
      </c>
      <c r="K325" s="5"/>
      <c r="L325" s="5"/>
      <c r="M325" s="5"/>
    </row>
    <row r="326" customFormat="false" ht="15" hidden="false" customHeight="true" outlineLevel="0" collapsed="false">
      <c r="A326" s="16" t="s">
        <v>1130</v>
      </c>
      <c r="B326" s="5" t="n">
        <v>172</v>
      </c>
      <c r="C326" s="6" t="s">
        <v>1222</v>
      </c>
      <c r="D326" s="5"/>
      <c r="E326" s="5" t="s">
        <v>1223</v>
      </c>
      <c r="F326" s="5" t="s">
        <v>1224</v>
      </c>
      <c r="G326" s="5" t="s">
        <v>934</v>
      </c>
      <c r="H326" s="5" t="s">
        <v>935</v>
      </c>
      <c r="I326" s="10" t="s">
        <v>56</v>
      </c>
      <c r="J326" s="5" t="s">
        <v>1225</v>
      </c>
      <c r="K326" s="5"/>
      <c r="L326" s="5"/>
      <c r="M326" s="5"/>
    </row>
    <row r="327" customFormat="false" ht="15" hidden="false" customHeight="true" outlineLevel="0" collapsed="false">
      <c r="A327" s="16" t="s">
        <v>1130</v>
      </c>
      <c r="B327" s="5" t="n">
        <v>178</v>
      </c>
      <c r="C327" s="6" t="s">
        <v>1226</v>
      </c>
      <c r="D327" s="5"/>
      <c r="E327" s="5" t="s">
        <v>1227</v>
      </c>
      <c r="F327" s="5" t="s">
        <v>1228</v>
      </c>
      <c r="G327" s="5" t="s">
        <v>1229</v>
      </c>
      <c r="H327" s="5" t="s">
        <v>1230</v>
      </c>
      <c r="I327" s="9" t="s">
        <v>35</v>
      </c>
      <c r="J327" s="5" t="s">
        <v>1231</v>
      </c>
      <c r="K327" s="5"/>
      <c r="L327" s="5"/>
      <c r="M327" s="5"/>
    </row>
    <row r="328" customFormat="false" ht="15" hidden="false" customHeight="true" outlineLevel="0" collapsed="false">
      <c r="A328" s="16" t="s">
        <v>1130</v>
      </c>
      <c r="B328" s="5" t="n">
        <v>182</v>
      </c>
      <c r="C328" s="6" t="s">
        <v>1232</v>
      </c>
      <c r="D328" s="5"/>
      <c r="E328" s="5" t="s">
        <v>1220</v>
      </c>
      <c r="F328" s="5" t="s">
        <v>446</v>
      </c>
      <c r="G328" s="5" t="s">
        <v>17</v>
      </c>
      <c r="H328" s="5" t="s">
        <v>1153</v>
      </c>
      <c r="I328" s="8" t="s">
        <v>28</v>
      </c>
      <c r="J328" s="5" t="s">
        <v>1233</v>
      </c>
      <c r="K328" s="5"/>
      <c r="L328" s="5"/>
      <c r="M328" s="5"/>
    </row>
    <row r="329" customFormat="false" ht="15" hidden="false" customHeight="true" outlineLevel="0" collapsed="false">
      <c r="A329" s="16" t="s">
        <v>1130</v>
      </c>
      <c r="B329" s="5" t="n">
        <v>188</v>
      </c>
      <c r="C329" s="6" t="s">
        <v>1234</v>
      </c>
      <c r="D329" s="5"/>
      <c r="E329" s="5" t="s">
        <v>869</v>
      </c>
      <c r="F329" s="5" t="s">
        <v>486</v>
      </c>
      <c r="G329" s="5" t="s">
        <v>547</v>
      </c>
      <c r="H329" s="5" t="s">
        <v>547</v>
      </c>
      <c r="I329" s="9" t="s">
        <v>35</v>
      </c>
      <c r="J329" s="5" t="s">
        <v>1235</v>
      </c>
      <c r="K329" s="5"/>
      <c r="L329" s="5"/>
      <c r="M329" s="5"/>
    </row>
    <row r="330" customFormat="false" ht="15" hidden="false" customHeight="true" outlineLevel="0" collapsed="false">
      <c r="A330" s="16" t="s">
        <v>1130</v>
      </c>
      <c r="B330" s="5" t="n">
        <v>195</v>
      </c>
      <c r="C330" s="6" t="s">
        <v>1236</v>
      </c>
      <c r="D330" s="5"/>
      <c r="E330" s="5" t="s">
        <v>1223</v>
      </c>
      <c r="F330" s="5" t="s">
        <v>1237</v>
      </c>
      <c r="G330" s="5" t="s">
        <v>934</v>
      </c>
      <c r="H330" s="5" t="s">
        <v>935</v>
      </c>
      <c r="I330" s="7" t="s">
        <v>19</v>
      </c>
      <c r="J330" s="5" t="s">
        <v>1225</v>
      </c>
      <c r="K330" s="5"/>
      <c r="L330" s="5"/>
      <c r="M330" s="5"/>
    </row>
    <row r="331" customFormat="false" ht="23.25" hidden="false" customHeight="true" outlineLevel="0" collapsed="false">
      <c r="A331" s="16" t="s">
        <v>1130</v>
      </c>
      <c r="B331" s="5" t="n">
        <v>197</v>
      </c>
      <c r="C331" s="6" t="s">
        <v>1238</v>
      </c>
      <c r="D331" s="5" t="s">
        <v>1239</v>
      </c>
      <c r="E331" s="5" t="s">
        <v>1240</v>
      </c>
      <c r="F331" s="5" t="s">
        <v>108</v>
      </c>
      <c r="G331" s="5" t="s">
        <v>109</v>
      </c>
      <c r="H331" s="5" t="s">
        <v>1241</v>
      </c>
      <c r="I331" s="9" t="s">
        <v>35</v>
      </c>
      <c r="J331" s="5" t="s">
        <v>1242</v>
      </c>
      <c r="K331" s="5"/>
      <c r="L331" s="5"/>
      <c r="M331" s="5"/>
    </row>
    <row r="332" customFormat="false" ht="15" hidden="false" customHeight="true" outlineLevel="0" collapsed="false">
      <c r="A332" s="16" t="s">
        <v>1130</v>
      </c>
      <c r="B332" s="5" t="n">
        <v>226</v>
      </c>
      <c r="C332" s="6" t="s">
        <v>576</v>
      </c>
      <c r="D332" s="5"/>
      <c r="E332" s="5" t="s">
        <v>577</v>
      </c>
      <c r="F332" s="5" t="s">
        <v>26</v>
      </c>
      <c r="G332" s="5" t="s">
        <v>578</v>
      </c>
      <c r="H332" s="5" t="s">
        <v>579</v>
      </c>
      <c r="I332" s="8" t="s">
        <v>28</v>
      </c>
      <c r="J332" s="5" t="s">
        <v>1243</v>
      </c>
      <c r="K332" s="5"/>
      <c r="L332" s="5"/>
      <c r="M332" s="5"/>
    </row>
    <row r="333" customFormat="false" ht="15" hidden="false" customHeight="true" outlineLevel="0" collapsed="false">
      <c r="A333" s="16" t="s">
        <v>1130</v>
      </c>
      <c r="B333" s="5" t="n">
        <v>238</v>
      </c>
      <c r="C333" s="6" t="s">
        <v>1244</v>
      </c>
      <c r="D333" s="5"/>
      <c r="E333" s="5" t="s">
        <v>1136</v>
      </c>
      <c r="F333" s="5" t="s">
        <v>50</v>
      </c>
      <c r="G333" s="5" t="s">
        <v>1100</v>
      </c>
      <c r="H333" s="5" t="s">
        <v>1137</v>
      </c>
      <c r="I333" s="9" t="s">
        <v>35</v>
      </c>
      <c r="J333" s="5" t="s">
        <v>1138</v>
      </c>
      <c r="K333" s="5"/>
      <c r="L333" s="5"/>
      <c r="M333" s="5"/>
    </row>
    <row r="334" customFormat="false" ht="15" hidden="false" customHeight="true" outlineLevel="0" collapsed="false">
      <c r="A334" s="16" t="s">
        <v>1130</v>
      </c>
      <c r="B334" s="5" t="n">
        <v>252</v>
      </c>
      <c r="C334" s="6" t="s">
        <v>1245</v>
      </c>
      <c r="D334" s="5"/>
      <c r="E334" s="5" t="s">
        <v>1246</v>
      </c>
      <c r="F334" s="5" t="s">
        <v>465</v>
      </c>
      <c r="G334" s="5" t="s">
        <v>109</v>
      </c>
      <c r="H334" s="5" t="s">
        <v>1247</v>
      </c>
      <c r="I334" s="8" t="s">
        <v>28</v>
      </c>
      <c r="J334" s="5" t="s">
        <v>1248</v>
      </c>
      <c r="K334" s="5"/>
      <c r="L334" s="5"/>
      <c r="M334" s="5"/>
    </row>
    <row r="335" customFormat="false" ht="23.25" hidden="false" customHeight="true" outlineLevel="0" collapsed="false">
      <c r="A335" s="16" t="s">
        <v>1130</v>
      </c>
      <c r="B335" s="5" t="n">
        <v>274</v>
      </c>
      <c r="C335" s="6" t="s">
        <v>1249</v>
      </c>
      <c r="D335" s="5"/>
      <c r="E335" s="5" t="s">
        <v>1250</v>
      </c>
      <c r="F335" s="5" t="s">
        <v>395</v>
      </c>
      <c r="G335" s="5" t="s">
        <v>1229</v>
      </c>
      <c r="H335" s="5" t="s">
        <v>1251</v>
      </c>
      <c r="I335" s="8" t="s">
        <v>28</v>
      </c>
      <c r="J335" s="5" t="s">
        <v>1252</v>
      </c>
      <c r="K335" s="5"/>
      <c r="L335" s="5"/>
      <c r="M335" s="5"/>
    </row>
    <row r="336" customFormat="false" ht="15" hidden="false" customHeight="true" outlineLevel="0" collapsed="false">
      <c r="A336" s="16" t="s">
        <v>1130</v>
      </c>
      <c r="B336" s="5" t="n">
        <v>278</v>
      </c>
      <c r="C336" s="6" t="s">
        <v>1253</v>
      </c>
      <c r="D336" s="5" t="s">
        <v>1254</v>
      </c>
      <c r="E336" s="5" t="s">
        <v>1255</v>
      </c>
      <c r="F336" s="5" t="s">
        <v>347</v>
      </c>
      <c r="G336" s="5" t="s">
        <v>17</v>
      </c>
      <c r="H336" s="5" t="s">
        <v>562</v>
      </c>
      <c r="I336" s="7" t="s">
        <v>19</v>
      </c>
      <c r="J336" s="5" t="s">
        <v>1256</v>
      </c>
      <c r="K336" s="5"/>
      <c r="L336" s="5"/>
      <c r="M336" s="5"/>
    </row>
    <row r="337" customFormat="false" ht="15" hidden="false" customHeight="true" outlineLevel="0" collapsed="false">
      <c r="A337" s="16" t="s">
        <v>1130</v>
      </c>
      <c r="B337" s="5" t="n">
        <v>279</v>
      </c>
      <c r="C337" s="6" t="s">
        <v>1257</v>
      </c>
      <c r="D337" s="5" t="s">
        <v>1258</v>
      </c>
      <c r="E337" s="5" t="s">
        <v>1259</v>
      </c>
      <c r="F337" s="5" t="s">
        <v>818</v>
      </c>
      <c r="G337" s="5" t="s">
        <v>109</v>
      </c>
      <c r="H337" s="5" t="s">
        <v>1260</v>
      </c>
      <c r="I337" s="7" t="s">
        <v>19</v>
      </c>
      <c r="J337" s="5" t="s">
        <v>1261</v>
      </c>
      <c r="K337" s="5"/>
      <c r="L337" s="5"/>
      <c r="M337" s="5"/>
    </row>
    <row r="338" customFormat="false" ht="23.25" hidden="false" customHeight="true" outlineLevel="0" collapsed="false">
      <c r="A338" s="16" t="s">
        <v>1130</v>
      </c>
      <c r="B338" s="5" t="n">
        <v>280</v>
      </c>
      <c r="C338" s="6" t="s">
        <v>1262</v>
      </c>
      <c r="D338" s="5"/>
      <c r="E338" s="5" t="s">
        <v>1263</v>
      </c>
      <c r="F338" s="5" t="s">
        <v>304</v>
      </c>
      <c r="G338" s="5" t="s">
        <v>942</v>
      </c>
      <c r="H338" s="5" t="s">
        <v>1264</v>
      </c>
      <c r="I338" s="9" t="s">
        <v>35</v>
      </c>
      <c r="J338" s="5" t="s">
        <v>1265</v>
      </c>
      <c r="K338" s="5"/>
      <c r="L338" s="5"/>
      <c r="M338" s="5"/>
    </row>
    <row r="339" customFormat="false" ht="15" hidden="false" customHeight="true" outlineLevel="0" collapsed="false">
      <c r="A339" s="16" t="s">
        <v>1130</v>
      </c>
      <c r="B339" s="5" t="n">
        <v>282</v>
      </c>
      <c r="C339" s="6" t="s">
        <v>1266</v>
      </c>
      <c r="D339" s="5"/>
      <c r="E339" s="5" t="s">
        <v>1136</v>
      </c>
      <c r="F339" s="5" t="s">
        <v>170</v>
      </c>
      <c r="G339" s="5" t="s">
        <v>1100</v>
      </c>
      <c r="H339" s="5" t="s">
        <v>1137</v>
      </c>
      <c r="I339" s="9" t="s">
        <v>35</v>
      </c>
      <c r="J339" s="5" t="s">
        <v>1138</v>
      </c>
      <c r="K339" s="5"/>
      <c r="L339" s="5"/>
      <c r="M339" s="5"/>
    </row>
    <row r="340" customFormat="false" ht="23.25" hidden="false" customHeight="true" outlineLevel="0" collapsed="false">
      <c r="A340" s="16" t="s">
        <v>1130</v>
      </c>
      <c r="B340" s="5" t="n">
        <v>284</v>
      </c>
      <c r="C340" s="6" t="s">
        <v>1267</v>
      </c>
      <c r="D340" s="5"/>
      <c r="E340" s="5" t="s">
        <v>1136</v>
      </c>
      <c r="F340" s="5" t="s">
        <v>738</v>
      </c>
      <c r="G340" s="5" t="s">
        <v>1100</v>
      </c>
      <c r="H340" s="5" t="s">
        <v>1137</v>
      </c>
      <c r="I340" s="9" t="s">
        <v>35</v>
      </c>
      <c r="J340" s="5" t="s">
        <v>1138</v>
      </c>
      <c r="K340" s="5"/>
      <c r="L340" s="5"/>
      <c r="M340" s="5"/>
    </row>
    <row r="341" customFormat="false" ht="15" hidden="false" customHeight="true" outlineLevel="0" collapsed="false">
      <c r="A341" s="16" t="s">
        <v>1130</v>
      </c>
      <c r="B341" s="5" t="n">
        <v>291</v>
      </c>
      <c r="C341" s="6" t="s">
        <v>1268</v>
      </c>
      <c r="D341" s="5"/>
      <c r="E341" s="5" t="s">
        <v>1269</v>
      </c>
      <c r="F341" s="5" t="s">
        <v>569</v>
      </c>
      <c r="G341" s="5" t="s">
        <v>109</v>
      </c>
      <c r="H341" s="5" t="s">
        <v>1270</v>
      </c>
      <c r="I341" s="7" t="s">
        <v>19</v>
      </c>
      <c r="J341" s="5" t="s">
        <v>1196</v>
      </c>
      <c r="K341" s="5"/>
      <c r="L341" s="5"/>
      <c r="M341" s="5"/>
    </row>
    <row r="342" customFormat="false" ht="15" hidden="false" customHeight="true" outlineLevel="0" collapsed="false">
      <c r="A342" s="16" t="s">
        <v>1130</v>
      </c>
      <c r="B342" s="5" t="n">
        <v>296</v>
      </c>
      <c r="C342" s="6" t="s">
        <v>1271</v>
      </c>
      <c r="D342" s="5"/>
      <c r="E342" s="5" t="s">
        <v>1272</v>
      </c>
      <c r="F342" s="5" t="s">
        <v>357</v>
      </c>
      <c r="G342" s="5" t="s">
        <v>1156</v>
      </c>
      <c r="H342" s="5" t="s">
        <v>1157</v>
      </c>
      <c r="I342" s="8" t="s">
        <v>28</v>
      </c>
      <c r="J342" s="5" t="s">
        <v>1158</v>
      </c>
      <c r="K342" s="5"/>
      <c r="L342" s="5"/>
      <c r="M342" s="5"/>
    </row>
    <row r="343" customFormat="false" ht="23.25" hidden="false" customHeight="true" outlineLevel="0" collapsed="false">
      <c r="A343" s="16" t="s">
        <v>1130</v>
      </c>
      <c r="B343" s="5" t="n">
        <v>297</v>
      </c>
      <c r="C343" s="6" t="s">
        <v>1273</v>
      </c>
      <c r="D343" s="5" t="s">
        <v>1274</v>
      </c>
      <c r="E343" s="5" t="s">
        <v>969</v>
      </c>
      <c r="F343" s="5" t="s">
        <v>228</v>
      </c>
      <c r="G343" s="5" t="s">
        <v>471</v>
      </c>
      <c r="H343" s="5" t="s">
        <v>472</v>
      </c>
      <c r="I343" s="9" t="s">
        <v>35</v>
      </c>
      <c r="J343" s="5" t="s">
        <v>1275</v>
      </c>
      <c r="K343" s="5"/>
      <c r="L343" s="5"/>
      <c r="M343" s="5"/>
    </row>
    <row r="344" customFormat="false" ht="15" hidden="false" customHeight="true" outlineLevel="0" collapsed="false">
      <c r="A344" s="16" t="s">
        <v>1130</v>
      </c>
      <c r="B344" s="5" t="n">
        <v>313</v>
      </c>
      <c r="C344" s="6" t="s">
        <v>1276</v>
      </c>
      <c r="D344" s="5"/>
      <c r="E344" s="5" t="s">
        <v>1277</v>
      </c>
      <c r="F344" s="5" t="s">
        <v>569</v>
      </c>
      <c r="G344" s="5" t="s">
        <v>109</v>
      </c>
      <c r="H344" s="5" t="s">
        <v>1278</v>
      </c>
      <c r="I344" s="9" t="s">
        <v>35</v>
      </c>
      <c r="J344" s="5" t="s">
        <v>1279</v>
      </c>
      <c r="K344" s="5"/>
      <c r="L344" s="5"/>
      <c r="M344" s="5"/>
    </row>
    <row r="345" customFormat="false" ht="15" hidden="false" customHeight="true" outlineLevel="0" collapsed="false">
      <c r="A345" s="16" t="s">
        <v>1130</v>
      </c>
      <c r="B345" s="5" t="n">
        <v>328</v>
      </c>
      <c r="C345" s="6" t="s">
        <v>1280</v>
      </c>
      <c r="D345" s="5"/>
      <c r="E345" s="5" t="s">
        <v>1281</v>
      </c>
      <c r="F345" s="5" t="s">
        <v>569</v>
      </c>
      <c r="G345" s="5" t="s">
        <v>33</v>
      </c>
      <c r="H345" s="5" t="s">
        <v>727</v>
      </c>
      <c r="I345" s="9" t="s">
        <v>35</v>
      </c>
      <c r="J345" s="5" t="s">
        <v>1282</v>
      </c>
      <c r="K345" s="5"/>
      <c r="L345" s="5"/>
      <c r="M345" s="5"/>
    </row>
    <row r="346" customFormat="false" ht="23.25" hidden="false" customHeight="true" outlineLevel="0" collapsed="false">
      <c r="A346" s="16" t="s">
        <v>1130</v>
      </c>
      <c r="B346" s="5" t="n">
        <v>333</v>
      </c>
      <c r="C346" s="6" t="s">
        <v>1283</v>
      </c>
      <c r="D346" s="5"/>
      <c r="E346" s="5" t="s">
        <v>1284</v>
      </c>
      <c r="F346" s="5" t="s">
        <v>304</v>
      </c>
      <c r="G346" s="5" t="s">
        <v>109</v>
      </c>
      <c r="H346" s="5" t="s">
        <v>1285</v>
      </c>
      <c r="I346" s="8" t="s">
        <v>28</v>
      </c>
      <c r="J346" s="5" t="s">
        <v>1286</v>
      </c>
      <c r="K346" s="5"/>
      <c r="L346" s="5"/>
      <c r="M346" s="5"/>
    </row>
    <row r="347" customFormat="false" ht="15" hidden="false" customHeight="true" outlineLevel="0" collapsed="false">
      <c r="A347" s="16" t="s">
        <v>1130</v>
      </c>
      <c r="B347" s="5" t="n">
        <v>334</v>
      </c>
      <c r="C347" s="6" t="s">
        <v>1287</v>
      </c>
      <c r="D347" s="5" t="s">
        <v>1288</v>
      </c>
      <c r="E347" s="5" t="s">
        <v>1289</v>
      </c>
      <c r="F347" s="5" t="s">
        <v>569</v>
      </c>
      <c r="G347" s="5" t="s">
        <v>1290</v>
      </c>
      <c r="H347" s="5" t="s">
        <v>1291</v>
      </c>
      <c r="I347" s="10" t="s">
        <v>56</v>
      </c>
      <c r="J347" s="5" t="s">
        <v>1290</v>
      </c>
      <c r="K347" s="5"/>
      <c r="L347" s="5"/>
      <c r="M347" s="5"/>
    </row>
    <row r="348" customFormat="false" ht="15" hidden="false" customHeight="true" outlineLevel="0" collapsed="false">
      <c r="A348" s="16" t="s">
        <v>1130</v>
      </c>
      <c r="B348" s="5" t="n">
        <v>339</v>
      </c>
      <c r="C348" s="6" t="s">
        <v>1292</v>
      </c>
      <c r="D348" s="5"/>
      <c r="E348" s="5" t="s">
        <v>1293</v>
      </c>
      <c r="F348" s="5"/>
      <c r="G348" s="5" t="s">
        <v>1229</v>
      </c>
      <c r="H348" s="5" t="s">
        <v>1294</v>
      </c>
      <c r="I348" s="9" t="s">
        <v>35</v>
      </c>
      <c r="J348" s="5" t="s">
        <v>1295</v>
      </c>
      <c r="K348" s="5"/>
      <c r="L348" s="5"/>
      <c r="M348" s="5"/>
    </row>
    <row r="349" customFormat="false" ht="23.25" hidden="false" customHeight="true" outlineLevel="0" collapsed="false">
      <c r="A349" s="16" t="s">
        <v>1130</v>
      </c>
      <c r="B349" s="5" t="n">
        <v>344</v>
      </c>
      <c r="C349" s="6" t="s">
        <v>1296</v>
      </c>
      <c r="D349" s="5"/>
      <c r="E349" s="5" t="s">
        <v>1297</v>
      </c>
      <c r="F349" s="5" t="s">
        <v>1298</v>
      </c>
      <c r="G349" s="5" t="s">
        <v>885</v>
      </c>
      <c r="H349" s="5" t="s">
        <v>885</v>
      </c>
      <c r="I349" s="7" t="s">
        <v>19</v>
      </c>
      <c r="J349" s="5" t="s">
        <v>1145</v>
      </c>
      <c r="K349" s="5"/>
      <c r="L349" s="5"/>
      <c r="M349" s="5"/>
    </row>
    <row r="350" customFormat="false" ht="15" hidden="false" customHeight="true" outlineLevel="0" collapsed="false">
      <c r="A350" s="16" t="s">
        <v>1130</v>
      </c>
      <c r="B350" s="5" t="n">
        <v>347</v>
      </c>
      <c r="C350" s="6" t="s">
        <v>1299</v>
      </c>
      <c r="D350" s="5" t="s">
        <v>1300</v>
      </c>
      <c r="E350" s="5" t="s">
        <v>1301</v>
      </c>
      <c r="F350" s="5" t="s">
        <v>818</v>
      </c>
      <c r="G350" s="5" t="s">
        <v>1290</v>
      </c>
      <c r="H350" s="5" t="s">
        <v>1302</v>
      </c>
      <c r="I350" s="10" t="s">
        <v>56</v>
      </c>
      <c r="J350" s="5" t="s">
        <v>1290</v>
      </c>
      <c r="K350" s="5"/>
      <c r="L350" s="5"/>
      <c r="M350" s="5"/>
    </row>
    <row r="351" customFormat="false" ht="15" hidden="false" customHeight="true" outlineLevel="0" collapsed="false">
      <c r="A351" s="16" t="s">
        <v>1130</v>
      </c>
      <c r="B351" s="5" t="n">
        <v>348</v>
      </c>
      <c r="C351" s="6" t="s">
        <v>1303</v>
      </c>
      <c r="D351" s="5"/>
      <c r="E351" s="5"/>
      <c r="F351" s="5"/>
      <c r="G351" s="5" t="s">
        <v>1229</v>
      </c>
      <c r="H351" s="5" t="s">
        <v>1304</v>
      </c>
      <c r="I351" s="10" t="s">
        <v>56</v>
      </c>
      <c r="J351" s="5" t="s">
        <v>1305</v>
      </c>
      <c r="K351" s="5"/>
      <c r="L351" s="5"/>
      <c r="M351" s="5"/>
    </row>
    <row r="352" customFormat="false" ht="23.25" hidden="false" customHeight="true" outlineLevel="0" collapsed="false">
      <c r="A352" s="16" t="s">
        <v>1130</v>
      </c>
      <c r="B352" s="5" t="n">
        <v>351</v>
      </c>
      <c r="C352" s="6" t="s">
        <v>1306</v>
      </c>
      <c r="D352" s="5"/>
      <c r="E352" s="5" t="s">
        <v>1307</v>
      </c>
      <c r="F352" s="5" t="s">
        <v>1212</v>
      </c>
      <c r="G352" s="5" t="s">
        <v>1100</v>
      </c>
      <c r="H352" s="5" t="s">
        <v>1100</v>
      </c>
      <c r="I352" s="8" t="s">
        <v>28</v>
      </c>
      <c r="J352" s="5" t="s">
        <v>1308</v>
      </c>
      <c r="K352" s="5"/>
      <c r="L352" s="5"/>
      <c r="M352" s="5"/>
    </row>
  </sheetData>
  <autoFilter ref="A1:M352"/>
  <conditionalFormatting sqref="K2:K352">
    <cfRule type="expression" priority="2" aboveAverage="0" equalAverage="0" bottom="0" percent="0" rank="0" text="" dxfId="18">
      <formula>$K2="Sí"</formula>
    </cfRule>
    <cfRule type="expression" priority="3" aboveAverage="0" equalAverage="0" bottom="0" percent="0" rank="0" text="" dxfId="19">
      <formula>$K2="No"</formula>
    </cfRule>
    <cfRule type="expression" priority="4" aboveAverage="0" equalAverage="0" bottom="0" percent="0" rank="0" text="" dxfId="20">
      <formula>$K2="Quizá"</formula>
    </cfRule>
  </conditionalFormatting>
  <conditionalFormatting sqref="L2:L352">
    <cfRule type="expression" priority="5" aboveAverage="0" equalAverage="0" bottom="0" percent="0" rank="0" text="" dxfId="21">
      <formula>$L2="Leído"</formula>
    </cfRule>
    <cfRule type="expression" priority="6" aboveAverage="0" equalAverage="0" bottom="0" percent="0" rank="0" text="" dxfId="22">
      <formula>$L2="Releer"</formula>
    </cfRule>
    <cfRule type="expression" priority="7" aboveAverage="0" equalAverage="0" bottom="0" percent="0" rank="0" text="" dxfId="23">
      <formula>$L2="Leyendo"</formula>
    </cfRule>
    <cfRule type="expression" priority="8" aboveAverage="0" equalAverage="0" bottom="0" percent="0" rank="0" text="" dxfId="24">
      <formula>$L2="Diciembre"</formula>
    </cfRule>
    <cfRule type="expression" priority="9" aboveAverage="0" equalAverage="0" bottom="0" percent="0" rank="0" text="" dxfId="25">
      <formula>LEFT($L2,9)="Pendiente"</formula>
    </cfRule>
  </conditionalFormatting>
  <conditionalFormatting sqref="M2:M352">
    <cfRule type="expression" priority="10" aboveAverage="0" equalAverage="0" bottom="0" percent="0" rank="0" text="" dxfId="21">
      <formula>$M2="Leído"</formula>
    </cfRule>
    <cfRule type="expression" priority="11" aboveAverage="0" equalAverage="0" bottom="0" percent="0" rank="0" text="" dxfId="22">
      <formula>$M2="Releer"</formula>
    </cfRule>
    <cfRule type="expression" priority="12" aboveAverage="0" equalAverage="0" bottom="0" percent="0" rank="0" text="" dxfId="23">
      <formula>$M2="Leyendo"</formula>
    </cfRule>
    <cfRule type="expression" priority="13" aboveAverage="0" equalAverage="0" bottom="0" percent="0" rank="0" text="" dxfId="24">
      <formula>$M2="Diciembre"</formula>
    </cfRule>
    <cfRule type="expression" priority="14" aboveAverage="0" equalAverage="0" bottom="0" percent="0" rank="0" text="" dxfId="25">
      <formula>LEFT($M2,9)="Pendiente"</formula>
    </cfRule>
  </conditionalFormatting>
  <dataValidations count="3">
    <dataValidation allowBlank="true" errorStyle="stop" operator="between" showDropDown="false" showErrorMessage="false" showInputMessage="false" sqref="K2:K352" type="list">
      <formula1>"Sí,No,Quizá"</formula1>
      <formula2>0</formula2>
    </dataValidation>
    <dataValidation allowBlank="true" errorStyle="stop" operator="between" showDropDown="false" showErrorMessage="false" showInputMessage="false" sqref="L2:L352" type="list">
      <formula1>"Leído,Releer,Leyendo,Pendiente · en casa,Pendiente · le interesa,Diciembre,No me interesa"</formula1>
      <formula2>0</formula2>
    </dataValidation>
    <dataValidation allowBlank="true" errorStyle="stop" operator="between" showDropDown="false" showErrorMessage="false" showInputMessage="false" sqref="M2:M352" type="list">
      <formula1>"Leído,Releer,Leyendo,Pendiente · en casa,Pendiente · le interesa,Diciembre,No me interesa"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26"/>
    <col collapsed="false" customWidth="true" hidden="false" outlineLevel="0" max="8" min="8" style="1" width="11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48"/>
    <col collapsed="false" customWidth="true" hidden="false" outlineLevel="0" max="13" min="13" style="1" width="8"/>
    <col collapsed="false" customWidth="true" hidden="false" outlineLevel="0" max="14" min="14" style="1" width="20"/>
  </cols>
  <sheetData>
    <row r="1" customFormat="false" ht="30" hidden="false" customHeight="tru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1309</v>
      </c>
      <c r="F1" s="2" t="s">
        <v>6</v>
      </c>
      <c r="G1" s="2" t="s">
        <v>7</v>
      </c>
      <c r="H1" s="2" t="s">
        <v>8</v>
      </c>
      <c r="I1" s="2" t="s">
        <v>1310</v>
      </c>
      <c r="J1" s="2" t="s">
        <v>1311</v>
      </c>
      <c r="K1" s="2" t="s">
        <v>1312</v>
      </c>
      <c r="L1" s="2" t="s">
        <v>1313</v>
      </c>
      <c r="M1" s="2" t="s">
        <v>22</v>
      </c>
      <c r="N1" s="2" t="s">
        <v>1314</v>
      </c>
    </row>
    <row r="2" customFormat="false" ht="15" hidden="false" customHeight="true" outlineLevel="0" collapsed="false">
      <c r="A2" s="5" t="n">
        <v>1</v>
      </c>
      <c r="B2" s="6" t="s">
        <v>14</v>
      </c>
      <c r="C2" s="5"/>
      <c r="D2" s="5" t="s">
        <v>15</v>
      </c>
      <c r="E2" s="5" t="s">
        <v>16</v>
      </c>
      <c r="F2" s="5" t="s">
        <v>17</v>
      </c>
      <c r="G2" s="5" t="s">
        <v>18</v>
      </c>
      <c r="H2" s="7" t="s">
        <v>19</v>
      </c>
      <c r="I2" s="5" t="s">
        <v>1315</v>
      </c>
      <c r="J2" s="5" t="s">
        <v>1316</v>
      </c>
      <c r="K2" s="5"/>
      <c r="L2" s="5"/>
      <c r="M2" s="5"/>
      <c r="N2" s="17" t="s">
        <v>13</v>
      </c>
    </row>
    <row r="3" customFormat="false" ht="15" hidden="false" customHeight="true" outlineLevel="0" collapsed="false">
      <c r="A3" s="5" t="n">
        <v>2</v>
      </c>
      <c r="B3" s="6" t="s">
        <v>981</v>
      </c>
      <c r="C3" s="5"/>
      <c r="D3" s="5" t="s">
        <v>593</v>
      </c>
      <c r="E3" s="5" t="s">
        <v>347</v>
      </c>
      <c r="F3" s="5" t="s">
        <v>33</v>
      </c>
      <c r="G3" s="5" t="s">
        <v>982</v>
      </c>
      <c r="H3" s="9" t="s">
        <v>35</v>
      </c>
      <c r="I3" s="5" t="s">
        <v>1317</v>
      </c>
      <c r="J3" s="5" t="s">
        <v>1316</v>
      </c>
      <c r="K3" s="5"/>
      <c r="L3" s="5" t="s">
        <v>1318</v>
      </c>
      <c r="M3" s="5"/>
      <c r="N3" s="18" t="s">
        <v>980</v>
      </c>
    </row>
    <row r="4" customFormat="false" ht="15" hidden="false" customHeight="true" outlineLevel="0" collapsed="false">
      <c r="A4" s="5" t="n">
        <v>3</v>
      </c>
      <c r="B4" s="6" t="s">
        <v>259</v>
      </c>
      <c r="C4" s="5" t="s">
        <v>260</v>
      </c>
      <c r="D4" s="5" t="s">
        <v>91</v>
      </c>
      <c r="E4" s="5" t="s">
        <v>261</v>
      </c>
      <c r="F4" s="5" t="s">
        <v>103</v>
      </c>
      <c r="G4" s="5" t="s">
        <v>262</v>
      </c>
      <c r="H4" s="7" t="s">
        <v>19</v>
      </c>
      <c r="I4" s="5" t="s">
        <v>1315</v>
      </c>
      <c r="J4" s="5" t="s">
        <v>1316</v>
      </c>
      <c r="K4" s="5"/>
      <c r="L4" s="5"/>
      <c r="M4" s="5"/>
      <c r="N4" s="19" t="s">
        <v>258</v>
      </c>
    </row>
    <row r="5" customFormat="false" ht="15" hidden="false" customHeight="true" outlineLevel="0" collapsed="false">
      <c r="A5" s="5" t="n">
        <v>4</v>
      </c>
      <c r="B5" s="6" t="s">
        <v>265</v>
      </c>
      <c r="C5" s="5" t="s">
        <v>266</v>
      </c>
      <c r="D5" s="5" t="s">
        <v>267</v>
      </c>
      <c r="E5" s="5" t="s">
        <v>151</v>
      </c>
      <c r="F5" s="5" t="s">
        <v>17</v>
      </c>
      <c r="G5" s="5" t="s">
        <v>18</v>
      </c>
      <c r="H5" s="9" t="s">
        <v>35</v>
      </c>
      <c r="I5" s="5" t="s">
        <v>1315</v>
      </c>
      <c r="J5" s="5" t="s">
        <v>1316</v>
      </c>
      <c r="K5" s="5"/>
      <c r="L5" s="5"/>
      <c r="M5" s="5"/>
      <c r="N5" s="19" t="s">
        <v>258</v>
      </c>
    </row>
    <row r="6" customFormat="false" ht="15" hidden="false" customHeight="true" outlineLevel="0" collapsed="false">
      <c r="A6" s="5" t="n">
        <v>5</v>
      </c>
      <c r="B6" s="6" t="s">
        <v>658</v>
      </c>
      <c r="C6" s="5" t="s">
        <v>659</v>
      </c>
      <c r="D6" s="5" t="s">
        <v>95</v>
      </c>
      <c r="E6" s="5" t="s">
        <v>660</v>
      </c>
      <c r="F6" s="5" t="s">
        <v>97</v>
      </c>
      <c r="G6" s="5" t="s">
        <v>562</v>
      </c>
      <c r="H6" s="10" t="s">
        <v>56</v>
      </c>
      <c r="I6" s="5" t="s">
        <v>1315</v>
      </c>
      <c r="J6" s="5" t="s">
        <v>1316</v>
      </c>
      <c r="K6" s="5"/>
      <c r="L6" s="5" t="s">
        <v>1319</v>
      </c>
      <c r="M6" s="5"/>
      <c r="N6" s="20" t="s">
        <v>657</v>
      </c>
    </row>
    <row r="7" customFormat="false" ht="15" hidden="false" customHeight="true" outlineLevel="0" collapsed="false">
      <c r="A7" s="5" t="n">
        <v>6</v>
      </c>
      <c r="B7" s="6" t="s">
        <v>23</v>
      </c>
      <c r="C7" s="5" t="s">
        <v>24</v>
      </c>
      <c r="D7" s="5" t="s">
        <v>25</v>
      </c>
      <c r="E7" s="5" t="s">
        <v>26</v>
      </c>
      <c r="F7" s="5" t="s">
        <v>17</v>
      </c>
      <c r="G7" s="5" t="s">
        <v>27</v>
      </c>
      <c r="H7" s="8" t="s">
        <v>28</v>
      </c>
      <c r="I7" s="5" t="s">
        <v>1317</v>
      </c>
      <c r="J7" s="5" t="s">
        <v>1316</v>
      </c>
      <c r="K7" s="5" t="s">
        <v>1320</v>
      </c>
      <c r="L7" s="5" t="s">
        <v>1321</v>
      </c>
      <c r="M7" s="5"/>
      <c r="N7" s="17" t="s">
        <v>13</v>
      </c>
    </row>
    <row r="8" customFormat="false" ht="23.25" hidden="false" customHeight="true" outlineLevel="0" collapsed="false">
      <c r="A8" s="5" t="n">
        <v>7</v>
      </c>
      <c r="B8" s="6" t="s">
        <v>662</v>
      </c>
      <c r="C8" s="5" t="s">
        <v>663</v>
      </c>
      <c r="D8" s="5" t="s">
        <v>664</v>
      </c>
      <c r="E8" s="5" t="s">
        <v>395</v>
      </c>
      <c r="F8" s="5" t="s">
        <v>139</v>
      </c>
      <c r="G8" s="5" t="s">
        <v>139</v>
      </c>
      <c r="H8" s="10" t="s">
        <v>56</v>
      </c>
      <c r="I8" s="5" t="s">
        <v>1317</v>
      </c>
      <c r="J8" s="5" t="s">
        <v>1316</v>
      </c>
      <c r="K8" s="5" t="s">
        <v>1322</v>
      </c>
      <c r="L8" s="5"/>
      <c r="M8" s="5"/>
      <c r="N8" s="20" t="s">
        <v>657</v>
      </c>
    </row>
    <row r="9" customFormat="false" ht="23.25" hidden="false" customHeight="true" outlineLevel="0" collapsed="false">
      <c r="A9" s="5" t="n">
        <v>8</v>
      </c>
      <c r="B9" s="6" t="s">
        <v>1131</v>
      </c>
      <c r="C9" s="5"/>
      <c r="D9" s="5" t="s">
        <v>1132</v>
      </c>
      <c r="E9" s="5" t="s">
        <v>184</v>
      </c>
      <c r="F9" s="5" t="s">
        <v>109</v>
      </c>
      <c r="G9" s="5" t="s">
        <v>1133</v>
      </c>
      <c r="H9" s="9" t="s">
        <v>35</v>
      </c>
      <c r="I9" s="5" t="s">
        <v>1317</v>
      </c>
      <c r="J9" s="5" t="s">
        <v>1316</v>
      </c>
      <c r="K9" s="5"/>
      <c r="L9" s="5" t="s">
        <v>1323</v>
      </c>
      <c r="M9" s="5"/>
      <c r="N9" s="21" t="s">
        <v>1130</v>
      </c>
    </row>
    <row r="10" customFormat="false" ht="23.25" hidden="false" customHeight="true" outlineLevel="0" collapsed="false">
      <c r="A10" s="5" t="n">
        <v>9</v>
      </c>
      <c r="B10" s="6" t="s">
        <v>984</v>
      </c>
      <c r="C10" s="5"/>
      <c r="D10" s="5" t="s">
        <v>985</v>
      </c>
      <c r="E10" s="5" t="s">
        <v>569</v>
      </c>
      <c r="F10" s="5" t="s">
        <v>139</v>
      </c>
      <c r="G10" s="5" t="s">
        <v>139</v>
      </c>
      <c r="H10" s="9" t="s">
        <v>35</v>
      </c>
      <c r="I10" s="5" t="s">
        <v>1317</v>
      </c>
      <c r="J10" s="5" t="s">
        <v>1316</v>
      </c>
      <c r="K10" s="5"/>
      <c r="L10" s="5"/>
      <c r="M10" s="5"/>
      <c r="N10" s="18" t="s">
        <v>980</v>
      </c>
    </row>
    <row r="11" customFormat="false" ht="15" hidden="false" customHeight="true" outlineLevel="0" collapsed="false">
      <c r="A11" s="5" t="n">
        <v>10</v>
      </c>
      <c r="B11" s="6" t="s">
        <v>269</v>
      </c>
      <c r="C11" s="5" t="s">
        <v>270</v>
      </c>
      <c r="D11" s="5" t="s">
        <v>174</v>
      </c>
      <c r="E11" s="5" t="s">
        <v>271</v>
      </c>
      <c r="F11" s="5" t="s">
        <v>139</v>
      </c>
      <c r="G11" s="5" t="s">
        <v>272</v>
      </c>
      <c r="H11" s="10" t="s">
        <v>56</v>
      </c>
      <c r="I11" s="5" t="s">
        <v>1317</v>
      </c>
      <c r="J11" s="5" t="s">
        <v>1316</v>
      </c>
      <c r="K11" s="5"/>
      <c r="L11" s="5" t="s">
        <v>1321</v>
      </c>
      <c r="M11" s="5"/>
      <c r="N11" s="19" t="s">
        <v>258</v>
      </c>
    </row>
    <row r="12" customFormat="false" ht="15" hidden="false" customHeight="true" outlineLevel="0" collapsed="false">
      <c r="A12" s="5" t="n">
        <v>11</v>
      </c>
      <c r="B12" s="6" t="s">
        <v>273</v>
      </c>
      <c r="C12" s="5" t="s">
        <v>274</v>
      </c>
      <c r="D12" s="5" t="s">
        <v>275</v>
      </c>
      <c r="E12" s="5" t="s">
        <v>276</v>
      </c>
      <c r="F12" s="5" t="s">
        <v>17</v>
      </c>
      <c r="G12" s="5" t="s">
        <v>104</v>
      </c>
      <c r="H12" s="8" t="s">
        <v>28</v>
      </c>
      <c r="I12" s="5" t="s">
        <v>1315</v>
      </c>
      <c r="J12" s="5" t="s">
        <v>1316</v>
      </c>
      <c r="K12" s="5"/>
      <c r="L12" s="5"/>
      <c r="M12" s="5"/>
      <c r="N12" s="19" t="s">
        <v>258</v>
      </c>
    </row>
    <row r="13" customFormat="false" ht="15" hidden="false" customHeight="true" outlineLevel="0" collapsed="false">
      <c r="A13" s="5" t="n">
        <v>12</v>
      </c>
      <c r="B13" s="6" t="s">
        <v>986</v>
      </c>
      <c r="C13" s="5"/>
      <c r="D13" s="5" t="s">
        <v>987</v>
      </c>
      <c r="E13" s="5" t="s">
        <v>347</v>
      </c>
      <c r="F13" s="5" t="s">
        <v>17</v>
      </c>
      <c r="G13" s="5" t="s">
        <v>202</v>
      </c>
      <c r="H13" s="9" t="s">
        <v>35</v>
      </c>
      <c r="I13" s="5" t="s">
        <v>1317</v>
      </c>
      <c r="J13" s="5" t="s">
        <v>1316</v>
      </c>
      <c r="K13" s="5"/>
      <c r="L13" s="5"/>
      <c r="M13" s="5"/>
      <c r="N13" s="18" t="s">
        <v>980</v>
      </c>
    </row>
    <row r="14" customFormat="false" ht="15" hidden="false" customHeight="true" outlineLevel="0" collapsed="false">
      <c r="A14" s="5" t="n">
        <v>13</v>
      </c>
      <c r="B14" s="6" t="s">
        <v>29</v>
      </c>
      <c r="C14" s="5" t="s">
        <v>30</v>
      </c>
      <c r="D14" s="5" t="s">
        <v>31</v>
      </c>
      <c r="E14" s="5" t="s">
        <v>32</v>
      </c>
      <c r="F14" s="5" t="s">
        <v>33</v>
      </c>
      <c r="G14" s="5" t="s">
        <v>34</v>
      </c>
      <c r="H14" s="9" t="s">
        <v>35</v>
      </c>
      <c r="I14" s="5" t="s">
        <v>1315</v>
      </c>
      <c r="J14" s="5" t="s">
        <v>1316</v>
      </c>
      <c r="K14" s="5"/>
      <c r="L14" s="5"/>
      <c r="M14" s="5"/>
      <c r="N14" s="17" t="s">
        <v>13</v>
      </c>
    </row>
    <row r="15" customFormat="false" ht="15" hidden="false" customHeight="true" outlineLevel="0" collapsed="false">
      <c r="A15" s="5" t="n">
        <v>14</v>
      </c>
      <c r="B15" s="6" t="s">
        <v>277</v>
      </c>
      <c r="C15" s="5" t="s">
        <v>278</v>
      </c>
      <c r="D15" s="5" t="s">
        <v>275</v>
      </c>
      <c r="E15" s="5" t="s">
        <v>279</v>
      </c>
      <c r="F15" s="5" t="s">
        <v>17</v>
      </c>
      <c r="G15" s="5" t="s">
        <v>280</v>
      </c>
      <c r="H15" s="10" t="s">
        <v>56</v>
      </c>
      <c r="I15" s="5" t="s">
        <v>1315</v>
      </c>
      <c r="J15" s="5" t="s">
        <v>1316</v>
      </c>
      <c r="K15" s="5"/>
      <c r="L15" s="5"/>
      <c r="M15" s="5"/>
      <c r="N15" s="19" t="s">
        <v>258</v>
      </c>
    </row>
    <row r="16" customFormat="false" ht="15" hidden="false" customHeight="true" outlineLevel="0" collapsed="false">
      <c r="A16" s="5" t="n">
        <v>15</v>
      </c>
      <c r="B16" s="6" t="s">
        <v>463</v>
      </c>
      <c r="C16" s="5"/>
      <c r="D16" s="5" t="s">
        <v>464</v>
      </c>
      <c r="E16" s="5" t="s">
        <v>465</v>
      </c>
      <c r="F16" s="5" t="s">
        <v>17</v>
      </c>
      <c r="G16" s="5" t="s">
        <v>190</v>
      </c>
      <c r="H16" s="8" t="s">
        <v>28</v>
      </c>
      <c r="I16" s="5" t="s">
        <v>1317</v>
      </c>
      <c r="J16" s="5" t="s">
        <v>1316</v>
      </c>
      <c r="K16" s="5"/>
      <c r="L16" s="5"/>
      <c r="M16" s="5"/>
      <c r="N16" s="22" t="s">
        <v>462</v>
      </c>
    </row>
    <row r="17" customFormat="false" ht="15" hidden="false" customHeight="true" outlineLevel="0" collapsed="false">
      <c r="A17" s="5" t="n">
        <v>16</v>
      </c>
      <c r="B17" s="6" t="s">
        <v>281</v>
      </c>
      <c r="C17" s="5" t="s">
        <v>282</v>
      </c>
      <c r="D17" s="5" t="s">
        <v>283</v>
      </c>
      <c r="E17" s="5" t="s">
        <v>284</v>
      </c>
      <c r="F17" s="5" t="s">
        <v>97</v>
      </c>
      <c r="G17" s="5" t="s">
        <v>146</v>
      </c>
      <c r="H17" s="8" t="s">
        <v>28</v>
      </c>
      <c r="I17" s="5" t="s">
        <v>1317</v>
      </c>
      <c r="J17" s="5" t="s">
        <v>1316</v>
      </c>
      <c r="K17" s="5" t="s">
        <v>1324</v>
      </c>
      <c r="L17" s="5" t="s">
        <v>1325</v>
      </c>
      <c r="M17" s="5"/>
      <c r="N17" s="19" t="s">
        <v>258</v>
      </c>
    </row>
    <row r="18" customFormat="false" ht="15" hidden="false" customHeight="true" outlineLevel="0" collapsed="false">
      <c r="A18" s="5" t="n">
        <v>17</v>
      </c>
      <c r="B18" s="6" t="s">
        <v>285</v>
      </c>
      <c r="C18" s="5" t="s">
        <v>286</v>
      </c>
      <c r="D18" s="5" t="s">
        <v>91</v>
      </c>
      <c r="E18" s="5" t="s">
        <v>287</v>
      </c>
      <c r="F18" s="5" t="s">
        <v>17</v>
      </c>
      <c r="G18" s="5" t="s">
        <v>252</v>
      </c>
      <c r="H18" s="9" t="s">
        <v>35</v>
      </c>
      <c r="I18" s="5" t="s">
        <v>1315</v>
      </c>
      <c r="J18" s="5" t="s">
        <v>1316</v>
      </c>
      <c r="K18" s="5"/>
      <c r="L18" s="5"/>
      <c r="M18" s="5"/>
      <c r="N18" s="19" t="s">
        <v>258</v>
      </c>
    </row>
    <row r="19" customFormat="false" ht="15" hidden="false" customHeight="true" outlineLevel="0" collapsed="false">
      <c r="A19" s="5" t="n">
        <v>18</v>
      </c>
      <c r="B19" s="6" t="s">
        <v>288</v>
      </c>
      <c r="C19" s="5" t="s">
        <v>289</v>
      </c>
      <c r="D19" s="5" t="s">
        <v>290</v>
      </c>
      <c r="E19" s="5" t="s">
        <v>291</v>
      </c>
      <c r="F19" s="5" t="s">
        <v>17</v>
      </c>
      <c r="G19" s="5" t="s">
        <v>190</v>
      </c>
      <c r="H19" s="8" t="s">
        <v>28</v>
      </c>
      <c r="I19" s="5" t="s">
        <v>1317</v>
      </c>
      <c r="J19" s="5" t="s">
        <v>1316</v>
      </c>
      <c r="K19" s="5"/>
      <c r="L19" s="5"/>
      <c r="M19" s="5"/>
      <c r="N19" s="19" t="s">
        <v>258</v>
      </c>
    </row>
    <row r="20" customFormat="false" ht="15" hidden="false" customHeight="true" outlineLevel="0" collapsed="false">
      <c r="A20" s="5" t="n">
        <v>19</v>
      </c>
      <c r="B20" s="6" t="s">
        <v>467</v>
      </c>
      <c r="C20" s="5" t="s">
        <v>468</v>
      </c>
      <c r="D20" s="5" t="s">
        <v>469</v>
      </c>
      <c r="E20" s="5" t="s">
        <v>470</v>
      </c>
      <c r="F20" s="5" t="s">
        <v>471</v>
      </c>
      <c r="G20" s="5" t="s">
        <v>472</v>
      </c>
      <c r="H20" s="10" t="s">
        <v>56</v>
      </c>
      <c r="I20" s="5" t="s">
        <v>1315</v>
      </c>
      <c r="J20" s="5" t="s">
        <v>1316</v>
      </c>
      <c r="K20" s="5"/>
      <c r="L20" s="5"/>
      <c r="M20" s="5"/>
      <c r="N20" s="22" t="s">
        <v>462</v>
      </c>
    </row>
    <row r="21" customFormat="false" ht="15" hidden="false" customHeight="true" outlineLevel="0" collapsed="false">
      <c r="A21" s="5" t="n">
        <v>20</v>
      </c>
      <c r="B21" s="6" t="s">
        <v>473</v>
      </c>
      <c r="C21" s="5" t="s">
        <v>474</v>
      </c>
      <c r="D21" s="5" t="s">
        <v>475</v>
      </c>
      <c r="E21" s="5" t="s">
        <v>133</v>
      </c>
      <c r="F21" s="5" t="s">
        <v>17</v>
      </c>
      <c r="G21" s="5" t="s">
        <v>476</v>
      </c>
      <c r="H21" s="8" t="s">
        <v>28</v>
      </c>
      <c r="I21" s="5" t="s">
        <v>1317</v>
      </c>
      <c r="J21" s="5" t="s">
        <v>1316</v>
      </c>
      <c r="K21" s="5"/>
      <c r="L21" s="5"/>
      <c r="M21" s="5"/>
      <c r="N21" s="22" t="s">
        <v>462</v>
      </c>
    </row>
    <row r="22" customFormat="false" ht="15" hidden="false" customHeight="true" outlineLevel="0" collapsed="false">
      <c r="A22" s="5" t="n">
        <v>21</v>
      </c>
      <c r="B22" s="6" t="s">
        <v>292</v>
      </c>
      <c r="C22" s="5" t="s">
        <v>293</v>
      </c>
      <c r="D22" s="5" t="s">
        <v>294</v>
      </c>
      <c r="E22" s="5" t="s">
        <v>295</v>
      </c>
      <c r="F22" s="5" t="s">
        <v>139</v>
      </c>
      <c r="G22" s="5" t="s">
        <v>139</v>
      </c>
      <c r="H22" s="7" t="s">
        <v>19</v>
      </c>
      <c r="I22" s="5" t="s">
        <v>1326</v>
      </c>
      <c r="J22" s="5" t="s">
        <v>1316</v>
      </c>
      <c r="K22" s="5" t="s">
        <v>1327</v>
      </c>
      <c r="L22" s="5"/>
      <c r="M22" s="5"/>
      <c r="N22" s="19" t="s">
        <v>258</v>
      </c>
    </row>
    <row r="23" customFormat="false" ht="15" hidden="false" customHeight="true" outlineLevel="0" collapsed="false">
      <c r="A23" s="5" t="n">
        <v>22</v>
      </c>
      <c r="B23" s="6" t="s">
        <v>37</v>
      </c>
      <c r="C23" s="5" t="s">
        <v>38</v>
      </c>
      <c r="D23" s="5" t="s">
        <v>39</v>
      </c>
      <c r="E23" s="5" t="s">
        <v>40</v>
      </c>
      <c r="F23" s="5" t="s">
        <v>17</v>
      </c>
      <c r="G23" s="5" t="s">
        <v>41</v>
      </c>
      <c r="H23" s="7" t="s">
        <v>19</v>
      </c>
      <c r="I23" s="5" t="s">
        <v>1328</v>
      </c>
      <c r="J23" s="5" t="s">
        <v>1329</v>
      </c>
      <c r="K23" s="5"/>
      <c r="L23" s="5"/>
      <c r="M23" s="5"/>
      <c r="N23" s="17" t="s">
        <v>13</v>
      </c>
    </row>
    <row r="24" customFormat="false" ht="15" hidden="false" customHeight="true" outlineLevel="0" collapsed="false">
      <c r="A24" s="5" t="n">
        <v>23</v>
      </c>
      <c r="B24" s="6" t="s">
        <v>296</v>
      </c>
      <c r="C24" s="5" t="s">
        <v>297</v>
      </c>
      <c r="D24" s="5" t="s">
        <v>298</v>
      </c>
      <c r="E24" s="5" t="s">
        <v>284</v>
      </c>
      <c r="F24" s="5" t="s">
        <v>299</v>
      </c>
      <c r="G24" s="5" t="s">
        <v>300</v>
      </c>
      <c r="H24" s="7" t="s">
        <v>19</v>
      </c>
      <c r="I24" s="5" t="s">
        <v>1330</v>
      </c>
      <c r="J24" s="5" t="s">
        <v>1331</v>
      </c>
      <c r="K24" s="5"/>
      <c r="L24" s="5"/>
      <c r="M24" s="5"/>
      <c r="N24" s="19" t="s">
        <v>258</v>
      </c>
    </row>
    <row r="25" customFormat="false" ht="23.25" hidden="false" customHeight="true" outlineLevel="0" collapsed="false">
      <c r="A25" s="5" t="n">
        <v>24</v>
      </c>
      <c r="B25" s="6" t="s">
        <v>1135</v>
      </c>
      <c r="C25" s="5"/>
      <c r="D25" s="5" t="s">
        <v>1136</v>
      </c>
      <c r="E25" s="5" t="s">
        <v>669</v>
      </c>
      <c r="F25" s="5" t="s">
        <v>1100</v>
      </c>
      <c r="G25" s="5" t="s">
        <v>1137</v>
      </c>
      <c r="H25" s="9" t="s">
        <v>35</v>
      </c>
      <c r="I25" s="5" t="s">
        <v>1317</v>
      </c>
      <c r="J25" s="5" t="s">
        <v>1316</v>
      </c>
      <c r="K25" s="5"/>
      <c r="L25" s="5" t="s">
        <v>1332</v>
      </c>
      <c r="M25" s="5"/>
      <c r="N25" s="21" t="s">
        <v>1130</v>
      </c>
    </row>
    <row r="26" customFormat="false" ht="15" hidden="false" customHeight="true" outlineLevel="0" collapsed="false">
      <c r="A26" s="5" t="n">
        <v>25</v>
      </c>
      <c r="B26" s="6" t="s">
        <v>43</v>
      </c>
      <c r="C26" s="5" t="s">
        <v>44</v>
      </c>
      <c r="D26" s="5" t="s">
        <v>45</v>
      </c>
      <c r="E26" s="5" t="s">
        <v>46</v>
      </c>
      <c r="F26" s="5" t="s">
        <v>17</v>
      </c>
      <c r="G26" s="5" t="s">
        <v>47</v>
      </c>
      <c r="H26" s="8" t="s">
        <v>28</v>
      </c>
      <c r="I26" s="5" t="s">
        <v>1317</v>
      </c>
      <c r="J26" s="5" t="s">
        <v>1316</v>
      </c>
      <c r="K26" s="5"/>
      <c r="L26" s="5"/>
      <c r="M26" s="5"/>
      <c r="N26" s="17" t="s">
        <v>13</v>
      </c>
    </row>
    <row r="27" customFormat="false" ht="15" hidden="false" customHeight="true" outlineLevel="0" collapsed="false">
      <c r="A27" s="5" t="n">
        <v>26</v>
      </c>
      <c r="B27" s="6" t="s">
        <v>301</v>
      </c>
      <c r="C27" s="5" t="s">
        <v>302</v>
      </c>
      <c r="D27" s="5" t="s">
        <v>303</v>
      </c>
      <c r="E27" s="5" t="s">
        <v>304</v>
      </c>
      <c r="F27" s="5" t="s">
        <v>17</v>
      </c>
      <c r="G27" s="5" t="s">
        <v>305</v>
      </c>
      <c r="H27" s="8" t="s">
        <v>28</v>
      </c>
      <c r="I27" s="5" t="s">
        <v>1315</v>
      </c>
      <c r="J27" s="5" t="s">
        <v>1316</v>
      </c>
      <c r="K27" s="5" t="s">
        <v>1333</v>
      </c>
      <c r="L27" s="5"/>
      <c r="M27" s="5"/>
      <c r="N27" s="19" t="s">
        <v>258</v>
      </c>
    </row>
    <row r="28" customFormat="false" ht="15" hidden="false" customHeight="true" outlineLevel="0" collapsed="false">
      <c r="A28" s="5" t="n">
        <v>27</v>
      </c>
      <c r="B28" s="6" t="s">
        <v>665</v>
      </c>
      <c r="C28" s="5"/>
      <c r="D28" s="5" t="s">
        <v>666</v>
      </c>
      <c r="E28" s="5" t="s">
        <v>667</v>
      </c>
      <c r="F28" s="5" t="s">
        <v>139</v>
      </c>
      <c r="G28" s="5" t="s">
        <v>139</v>
      </c>
      <c r="H28" s="9" t="s">
        <v>35</v>
      </c>
      <c r="I28" s="5" t="s">
        <v>1334</v>
      </c>
      <c r="J28" s="5" t="s">
        <v>1316</v>
      </c>
      <c r="K28" s="5"/>
      <c r="L28" s="5"/>
      <c r="M28" s="5"/>
      <c r="N28" s="20" t="s">
        <v>657</v>
      </c>
    </row>
    <row r="29" customFormat="false" ht="15" hidden="false" customHeight="true" outlineLevel="0" collapsed="false">
      <c r="A29" s="5" t="n">
        <v>28</v>
      </c>
      <c r="B29" s="6" t="s">
        <v>988</v>
      </c>
      <c r="C29" s="5" t="s">
        <v>989</v>
      </c>
      <c r="D29" s="5" t="s">
        <v>990</v>
      </c>
      <c r="E29" s="5" t="s">
        <v>532</v>
      </c>
      <c r="F29" s="5" t="s">
        <v>471</v>
      </c>
      <c r="G29" s="5" t="s">
        <v>471</v>
      </c>
      <c r="H29" s="10" t="s">
        <v>56</v>
      </c>
      <c r="I29" s="5" t="s">
        <v>1315</v>
      </c>
      <c r="J29" s="5" t="s">
        <v>1316</v>
      </c>
      <c r="K29" s="5"/>
      <c r="L29" s="5" t="s">
        <v>1335</v>
      </c>
      <c r="M29" s="5"/>
      <c r="N29" s="18" t="s">
        <v>980</v>
      </c>
    </row>
    <row r="30" customFormat="false" ht="23.25" hidden="false" customHeight="true" outlineLevel="0" collapsed="false">
      <c r="A30" s="5" t="n">
        <v>29</v>
      </c>
      <c r="B30" s="6" t="s">
        <v>811</v>
      </c>
      <c r="C30" s="5" t="s">
        <v>812</v>
      </c>
      <c r="D30" s="5" t="s">
        <v>813</v>
      </c>
      <c r="E30" s="5" t="s">
        <v>814</v>
      </c>
      <c r="F30" s="5" t="s">
        <v>33</v>
      </c>
      <c r="G30" s="5" t="s">
        <v>34</v>
      </c>
      <c r="H30" s="9" t="s">
        <v>35</v>
      </c>
      <c r="I30" s="5" t="s">
        <v>1317</v>
      </c>
      <c r="J30" s="5" t="s">
        <v>1316</v>
      </c>
      <c r="K30" s="5" t="s">
        <v>1336</v>
      </c>
      <c r="L30" s="5"/>
      <c r="M30" s="5"/>
      <c r="N30" s="23" t="s">
        <v>810</v>
      </c>
    </row>
    <row r="31" customFormat="false" ht="15" hidden="false" customHeight="true" outlineLevel="0" collapsed="false">
      <c r="A31" s="5" t="n">
        <v>30</v>
      </c>
      <c r="B31" s="6" t="s">
        <v>477</v>
      </c>
      <c r="C31" s="5" t="s">
        <v>478</v>
      </c>
      <c r="D31" s="5" t="s">
        <v>479</v>
      </c>
      <c r="E31" s="5" t="s">
        <v>395</v>
      </c>
      <c r="F31" s="5" t="s">
        <v>17</v>
      </c>
      <c r="G31" s="5" t="s">
        <v>252</v>
      </c>
      <c r="H31" s="10" t="s">
        <v>56</v>
      </c>
      <c r="I31" s="5" t="s">
        <v>1337</v>
      </c>
      <c r="J31" s="5" t="s">
        <v>1338</v>
      </c>
      <c r="K31" s="5"/>
      <c r="L31" s="5"/>
      <c r="M31" s="5"/>
      <c r="N31" s="22" t="s">
        <v>462</v>
      </c>
    </row>
    <row r="32" customFormat="false" ht="23.25" hidden="false" customHeight="true" outlineLevel="0" collapsed="false">
      <c r="A32" s="5" t="n">
        <v>31</v>
      </c>
      <c r="B32" s="6" t="s">
        <v>480</v>
      </c>
      <c r="C32" s="5" t="s">
        <v>481</v>
      </c>
      <c r="D32" s="5" t="s">
        <v>482</v>
      </c>
      <c r="E32" s="5" t="s">
        <v>304</v>
      </c>
      <c r="F32" s="5" t="s">
        <v>17</v>
      </c>
      <c r="G32" s="5" t="s">
        <v>146</v>
      </c>
      <c r="H32" s="8" t="s">
        <v>28</v>
      </c>
      <c r="I32" s="5" t="s">
        <v>1317</v>
      </c>
      <c r="J32" s="5" t="s">
        <v>1316</v>
      </c>
      <c r="K32" s="5" t="s">
        <v>1339</v>
      </c>
      <c r="L32" s="5"/>
      <c r="M32" s="5"/>
      <c r="N32" s="22" t="s">
        <v>462</v>
      </c>
    </row>
    <row r="33" customFormat="false" ht="15" hidden="false" customHeight="true" outlineLevel="0" collapsed="false">
      <c r="A33" s="5" t="n">
        <v>32</v>
      </c>
      <c r="B33" s="6" t="s">
        <v>48</v>
      </c>
      <c r="C33" s="5"/>
      <c r="D33" s="5" t="s">
        <v>49</v>
      </c>
      <c r="E33" s="5" t="s">
        <v>50</v>
      </c>
      <c r="F33" s="5" t="s">
        <v>17</v>
      </c>
      <c r="G33" s="5" t="s">
        <v>51</v>
      </c>
      <c r="H33" s="7" t="s">
        <v>19</v>
      </c>
      <c r="I33" s="5" t="s">
        <v>1317</v>
      </c>
      <c r="J33" s="5" t="s">
        <v>1316</v>
      </c>
      <c r="K33" s="5" t="s">
        <v>1340</v>
      </c>
      <c r="L33" s="5"/>
      <c r="M33" s="5"/>
      <c r="N33" s="17" t="s">
        <v>13</v>
      </c>
    </row>
    <row r="34" customFormat="false" ht="23.25" hidden="false" customHeight="true" outlineLevel="0" collapsed="false">
      <c r="A34" s="5" t="n">
        <v>33</v>
      </c>
      <c r="B34" s="6" t="s">
        <v>483</v>
      </c>
      <c r="C34" s="5" t="s">
        <v>484</v>
      </c>
      <c r="D34" s="5" t="s">
        <v>485</v>
      </c>
      <c r="E34" s="5" t="s">
        <v>486</v>
      </c>
      <c r="F34" s="5" t="s">
        <v>195</v>
      </c>
      <c r="G34" s="5" t="s">
        <v>220</v>
      </c>
      <c r="H34" s="7" t="s">
        <v>19</v>
      </c>
      <c r="I34" s="5" t="s">
        <v>1341</v>
      </c>
      <c r="J34" s="5" t="s">
        <v>1342</v>
      </c>
      <c r="K34" s="5" t="s">
        <v>1343</v>
      </c>
      <c r="L34" s="5" t="s">
        <v>1344</v>
      </c>
      <c r="M34" s="5"/>
      <c r="N34" s="22" t="s">
        <v>462</v>
      </c>
    </row>
    <row r="35" customFormat="false" ht="15" hidden="false" customHeight="true" outlineLevel="0" collapsed="false">
      <c r="A35" s="5" t="n">
        <v>34</v>
      </c>
      <c r="B35" s="6" t="s">
        <v>816</v>
      </c>
      <c r="C35" s="5"/>
      <c r="D35" s="5" t="s">
        <v>817</v>
      </c>
      <c r="E35" s="5" t="s">
        <v>818</v>
      </c>
      <c r="F35" s="5" t="s">
        <v>33</v>
      </c>
      <c r="G35" s="5" t="s">
        <v>34</v>
      </c>
      <c r="H35" s="9" t="s">
        <v>35</v>
      </c>
      <c r="I35" s="5" t="s">
        <v>1317</v>
      </c>
      <c r="J35" s="5" t="s">
        <v>1316</v>
      </c>
      <c r="K35" s="5"/>
      <c r="L35" s="5"/>
      <c r="M35" s="5"/>
      <c r="N35" s="23" t="s">
        <v>810</v>
      </c>
    </row>
    <row r="36" customFormat="false" ht="15" hidden="false" customHeight="true" outlineLevel="0" collapsed="false">
      <c r="A36" s="5" t="n">
        <v>35</v>
      </c>
      <c r="B36" s="6" t="s">
        <v>52</v>
      </c>
      <c r="C36" s="5" t="s">
        <v>53</v>
      </c>
      <c r="D36" s="5" t="s">
        <v>54</v>
      </c>
      <c r="E36" s="5" t="s">
        <v>55</v>
      </c>
      <c r="F36" s="5" t="s">
        <v>17</v>
      </c>
      <c r="G36" s="5" t="s">
        <v>18</v>
      </c>
      <c r="H36" s="10" t="s">
        <v>56</v>
      </c>
      <c r="I36" s="5" t="s">
        <v>1315</v>
      </c>
      <c r="J36" s="5" t="s">
        <v>1316</v>
      </c>
      <c r="K36" s="5"/>
      <c r="L36" s="5"/>
      <c r="M36" s="5"/>
      <c r="N36" s="17" t="s">
        <v>13</v>
      </c>
    </row>
    <row r="37" customFormat="false" ht="15" hidden="false" customHeight="true" outlineLevel="0" collapsed="false">
      <c r="A37" s="5" t="n">
        <v>36</v>
      </c>
      <c r="B37" s="6" t="s">
        <v>488</v>
      </c>
      <c r="C37" s="5"/>
      <c r="D37" s="5" t="s">
        <v>489</v>
      </c>
      <c r="E37" s="5" t="s">
        <v>357</v>
      </c>
      <c r="F37" s="5" t="s">
        <v>17</v>
      </c>
      <c r="G37" s="5" t="s">
        <v>490</v>
      </c>
      <c r="H37" s="8" t="s">
        <v>28</v>
      </c>
      <c r="I37" s="5" t="s">
        <v>1345</v>
      </c>
      <c r="J37" s="5" t="s">
        <v>1316</v>
      </c>
      <c r="K37" s="5" t="s">
        <v>1346</v>
      </c>
      <c r="L37" s="5"/>
      <c r="M37" s="5"/>
      <c r="N37" s="22" t="s">
        <v>462</v>
      </c>
    </row>
    <row r="38" customFormat="false" ht="23.25" hidden="false" customHeight="true" outlineLevel="0" collapsed="false">
      <c r="A38" s="5" t="n">
        <v>37</v>
      </c>
      <c r="B38" s="6" t="s">
        <v>1139</v>
      </c>
      <c r="C38" s="5"/>
      <c r="D38" s="5" t="s">
        <v>1140</v>
      </c>
      <c r="E38" s="5" t="s">
        <v>284</v>
      </c>
      <c r="F38" s="5" t="s">
        <v>1013</v>
      </c>
      <c r="G38" s="5" t="s">
        <v>1141</v>
      </c>
      <c r="H38" s="10" t="s">
        <v>56</v>
      </c>
      <c r="I38" s="5" t="s">
        <v>1317</v>
      </c>
      <c r="J38" s="5" t="s">
        <v>1316</v>
      </c>
      <c r="K38" s="5"/>
      <c r="L38" s="5" t="s">
        <v>1347</v>
      </c>
      <c r="M38" s="5"/>
      <c r="N38" s="21" t="s">
        <v>1130</v>
      </c>
    </row>
    <row r="39" customFormat="false" ht="15" hidden="false" customHeight="true" outlineLevel="0" collapsed="false">
      <c r="A39" s="5" t="n">
        <v>38</v>
      </c>
      <c r="B39" s="6" t="s">
        <v>57</v>
      </c>
      <c r="C39" s="5" t="s">
        <v>58</v>
      </c>
      <c r="D39" s="5" t="s">
        <v>59</v>
      </c>
      <c r="E39" s="5" t="s">
        <v>60</v>
      </c>
      <c r="F39" s="5" t="s">
        <v>17</v>
      </c>
      <c r="G39" s="5" t="s">
        <v>61</v>
      </c>
      <c r="H39" s="10" t="s">
        <v>56</v>
      </c>
      <c r="I39" s="5" t="s">
        <v>1348</v>
      </c>
      <c r="J39" s="5" t="s">
        <v>1338</v>
      </c>
      <c r="K39" s="5"/>
      <c r="L39" s="5"/>
      <c r="M39" s="5"/>
      <c r="N39" s="17" t="s">
        <v>13</v>
      </c>
    </row>
    <row r="40" customFormat="false" ht="15" hidden="false" customHeight="true" outlineLevel="0" collapsed="false">
      <c r="A40" s="5" t="n">
        <v>39</v>
      </c>
      <c r="B40" s="6" t="s">
        <v>668</v>
      </c>
      <c r="C40" s="5"/>
      <c r="D40" s="5" t="s">
        <v>624</v>
      </c>
      <c r="E40" s="5" t="s">
        <v>669</v>
      </c>
      <c r="F40" s="5" t="s">
        <v>17</v>
      </c>
      <c r="G40" s="5" t="s">
        <v>566</v>
      </c>
      <c r="H40" s="10" t="s">
        <v>56</v>
      </c>
      <c r="I40" s="5" t="s">
        <v>1317</v>
      </c>
      <c r="J40" s="5" t="s">
        <v>1316</v>
      </c>
      <c r="K40" s="5"/>
      <c r="L40" s="5" t="s">
        <v>1349</v>
      </c>
      <c r="M40" s="5"/>
      <c r="N40" s="20" t="s">
        <v>657</v>
      </c>
    </row>
    <row r="41" customFormat="false" ht="15" hidden="false" customHeight="true" outlineLevel="0" collapsed="false">
      <c r="A41" s="5" t="n">
        <v>40</v>
      </c>
      <c r="B41" s="6" t="s">
        <v>62</v>
      </c>
      <c r="C41" s="5" t="s">
        <v>63</v>
      </c>
      <c r="D41" s="5" t="s">
        <v>64</v>
      </c>
      <c r="E41" s="5" t="s">
        <v>65</v>
      </c>
      <c r="F41" s="5" t="s">
        <v>17</v>
      </c>
      <c r="G41" s="5" t="s">
        <v>66</v>
      </c>
      <c r="H41" s="8" t="s">
        <v>28</v>
      </c>
      <c r="I41" s="5" t="s">
        <v>1317</v>
      </c>
      <c r="J41" s="5" t="s">
        <v>1316</v>
      </c>
      <c r="K41" s="5"/>
      <c r="L41" s="5"/>
      <c r="M41" s="5"/>
      <c r="N41" s="17" t="s">
        <v>13</v>
      </c>
    </row>
    <row r="42" customFormat="false" ht="15" hidden="false" customHeight="true" outlineLevel="0" collapsed="false">
      <c r="A42" s="5" t="n">
        <v>41</v>
      </c>
      <c r="B42" s="6" t="s">
        <v>819</v>
      </c>
      <c r="C42" s="5" t="s">
        <v>820</v>
      </c>
      <c r="D42" s="5" t="s">
        <v>821</v>
      </c>
      <c r="E42" s="5" t="s">
        <v>271</v>
      </c>
      <c r="F42" s="5" t="s">
        <v>471</v>
      </c>
      <c r="G42" s="5" t="s">
        <v>472</v>
      </c>
      <c r="H42" s="7" t="s">
        <v>19</v>
      </c>
      <c r="I42" s="5" t="s">
        <v>1315</v>
      </c>
      <c r="J42" s="5" t="s">
        <v>1316</v>
      </c>
      <c r="K42" s="5"/>
      <c r="L42" s="5" t="s">
        <v>1350</v>
      </c>
      <c r="M42" s="5"/>
      <c r="N42" s="23" t="s">
        <v>810</v>
      </c>
    </row>
    <row r="43" customFormat="false" ht="15" hidden="false" customHeight="true" outlineLevel="0" collapsed="false">
      <c r="A43" s="5" t="n">
        <v>42</v>
      </c>
      <c r="B43" s="6" t="s">
        <v>822</v>
      </c>
      <c r="C43" s="5" t="s">
        <v>823</v>
      </c>
      <c r="D43" s="5" t="s">
        <v>824</v>
      </c>
      <c r="E43" s="5" t="s">
        <v>455</v>
      </c>
      <c r="F43" s="5" t="s">
        <v>471</v>
      </c>
      <c r="G43" s="5" t="s">
        <v>471</v>
      </c>
      <c r="H43" s="8" t="s">
        <v>28</v>
      </c>
      <c r="I43" s="5" t="s">
        <v>1317</v>
      </c>
      <c r="J43" s="5" t="s">
        <v>1316</v>
      </c>
      <c r="K43" s="5" t="s">
        <v>1351</v>
      </c>
      <c r="L43" s="5"/>
      <c r="M43" s="5"/>
      <c r="N43" s="23" t="s">
        <v>810</v>
      </c>
    </row>
    <row r="44" customFormat="false" ht="15" hidden="false" customHeight="true" outlineLevel="0" collapsed="false">
      <c r="A44" s="5" t="n">
        <v>43</v>
      </c>
      <c r="B44" s="6" t="s">
        <v>825</v>
      </c>
      <c r="C44" s="5"/>
      <c r="D44" s="5" t="s">
        <v>624</v>
      </c>
      <c r="E44" s="5" t="s">
        <v>532</v>
      </c>
      <c r="F44" s="5" t="s">
        <v>17</v>
      </c>
      <c r="G44" s="5" t="s">
        <v>566</v>
      </c>
      <c r="H44" s="9" t="s">
        <v>35</v>
      </c>
      <c r="I44" s="5" t="s">
        <v>1317</v>
      </c>
      <c r="J44" s="5" t="s">
        <v>1316</v>
      </c>
      <c r="K44" s="5"/>
      <c r="L44" s="5"/>
      <c r="M44" s="5"/>
      <c r="N44" s="23" t="s">
        <v>810</v>
      </c>
    </row>
    <row r="45" customFormat="false" ht="23.25" hidden="false" customHeight="true" outlineLevel="0" collapsed="false">
      <c r="A45" s="5" t="n">
        <v>44</v>
      </c>
      <c r="B45" s="6" t="s">
        <v>991</v>
      </c>
      <c r="C45" s="5"/>
      <c r="D45" s="5" t="s">
        <v>869</v>
      </c>
      <c r="E45" s="5" t="s">
        <v>304</v>
      </c>
      <c r="F45" s="5" t="s">
        <v>870</v>
      </c>
      <c r="G45" s="5" t="s">
        <v>312</v>
      </c>
      <c r="H45" s="9" t="s">
        <v>35</v>
      </c>
      <c r="I45" s="5" t="s">
        <v>1317</v>
      </c>
      <c r="J45" s="5" t="s">
        <v>1316</v>
      </c>
      <c r="K45" s="5"/>
      <c r="L45" s="5" t="s">
        <v>1352</v>
      </c>
      <c r="M45" s="5"/>
      <c r="N45" s="18" t="s">
        <v>980</v>
      </c>
    </row>
    <row r="46" customFormat="false" ht="15" hidden="false" customHeight="true" outlineLevel="0" collapsed="false">
      <c r="A46" s="5" t="n">
        <v>45</v>
      </c>
      <c r="B46" s="6" t="s">
        <v>670</v>
      </c>
      <c r="C46" s="5"/>
      <c r="D46" s="5" t="s">
        <v>671</v>
      </c>
      <c r="E46" s="5" t="s">
        <v>519</v>
      </c>
      <c r="F46" s="5" t="s">
        <v>578</v>
      </c>
      <c r="G46" s="5" t="s">
        <v>672</v>
      </c>
      <c r="H46" s="9" t="s">
        <v>35</v>
      </c>
      <c r="I46" s="5" t="s">
        <v>1317</v>
      </c>
      <c r="J46" s="5" t="s">
        <v>1316</v>
      </c>
      <c r="K46" s="5"/>
      <c r="L46" s="5" t="s">
        <v>1353</v>
      </c>
      <c r="M46" s="5"/>
      <c r="N46" s="20" t="s">
        <v>657</v>
      </c>
    </row>
    <row r="47" customFormat="false" ht="15" hidden="false" customHeight="true" outlineLevel="0" collapsed="false">
      <c r="A47" s="5" t="n">
        <v>46</v>
      </c>
      <c r="B47" s="6" t="s">
        <v>491</v>
      </c>
      <c r="C47" s="5" t="s">
        <v>492</v>
      </c>
      <c r="D47" s="5" t="s">
        <v>493</v>
      </c>
      <c r="E47" s="5" t="s">
        <v>494</v>
      </c>
      <c r="F47" s="5" t="s">
        <v>17</v>
      </c>
      <c r="G47" s="5" t="s">
        <v>125</v>
      </c>
      <c r="H47" s="9" t="s">
        <v>35</v>
      </c>
      <c r="I47" s="5" t="s">
        <v>1348</v>
      </c>
      <c r="J47" s="5" t="s">
        <v>1338</v>
      </c>
      <c r="K47" s="5"/>
      <c r="L47" s="5" t="s">
        <v>1354</v>
      </c>
      <c r="M47" s="5"/>
      <c r="N47" s="22" t="s">
        <v>462</v>
      </c>
    </row>
    <row r="48" customFormat="false" ht="15" hidden="false" customHeight="true" outlineLevel="0" collapsed="false">
      <c r="A48" s="5" t="n">
        <v>47</v>
      </c>
      <c r="B48" s="6" t="s">
        <v>67</v>
      </c>
      <c r="C48" s="5" t="s">
        <v>68</v>
      </c>
      <c r="D48" s="5" t="s">
        <v>69</v>
      </c>
      <c r="E48" s="5" t="s">
        <v>70</v>
      </c>
      <c r="F48" s="5" t="s">
        <v>17</v>
      </c>
      <c r="G48" s="5" t="s">
        <v>71</v>
      </c>
      <c r="H48" s="8" t="s">
        <v>28</v>
      </c>
      <c r="I48" s="5" t="s">
        <v>1328</v>
      </c>
      <c r="J48" s="5" t="s">
        <v>1329</v>
      </c>
      <c r="K48" s="5"/>
      <c r="L48" s="5" t="s">
        <v>1355</v>
      </c>
      <c r="M48" s="5"/>
      <c r="N48" s="17" t="s">
        <v>13</v>
      </c>
    </row>
    <row r="49" customFormat="false" ht="15" hidden="false" customHeight="true" outlineLevel="0" collapsed="false">
      <c r="A49" s="5" t="n">
        <v>48</v>
      </c>
      <c r="B49" s="6" t="s">
        <v>826</v>
      </c>
      <c r="C49" s="5"/>
      <c r="D49" s="5" t="s">
        <v>624</v>
      </c>
      <c r="E49" s="5" t="s">
        <v>738</v>
      </c>
      <c r="F49" s="5" t="s">
        <v>17</v>
      </c>
      <c r="G49" s="5" t="s">
        <v>566</v>
      </c>
      <c r="H49" s="8" t="s">
        <v>28</v>
      </c>
      <c r="I49" s="5" t="s">
        <v>1317</v>
      </c>
      <c r="J49" s="5" t="s">
        <v>1316</v>
      </c>
      <c r="K49" s="5"/>
      <c r="L49" s="5"/>
      <c r="M49" s="5"/>
      <c r="N49" s="23" t="s">
        <v>810</v>
      </c>
    </row>
    <row r="50" customFormat="false" ht="15" hidden="false" customHeight="true" outlineLevel="0" collapsed="false">
      <c r="A50" s="5" t="n">
        <v>49</v>
      </c>
      <c r="B50" s="6" t="s">
        <v>495</v>
      </c>
      <c r="C50" s="5"/>
      <c r="D50" s="5" t="s">
        <v>496</v>
      </c>
      <c r="E50" s="5" t="s">
        <v>40</v>
      </c>
      <c r="F50" s="5" t="s">
        <v>103</v>
      </c>
      <c r="G50" s="5" t="s">
        <v>497</v>
      </c>
      <c r="H50" s="10" t="s">
        <v>56</v>
      </c>
      <c r="I50" s="5" t="s">
        <v>1356</v>
      </c>
      <c r="J50" s="5" t="s">
        <v>1316</v>
      </c>
      <c r="K50" s="5"/>
      <c r="L50" s="5"/>
      <c r="M50" s="5"/>
      <c r="N50" s="22" t="s">
        <v>462</v>
      </c>
    </row>
    <row r="51" customFormat="false" ht="15" hidden="false" customHeight="true" outlineLevel="0" collapsed="false">
      <c r="A51" s="5" t="n">
        <v>50</v>
      </c>
      <c r="B51" s="6" t="s">
        <v>498</v>
      </c>
      <c r="C51" s="5" t="s">
        <v>499</v>
      </c>
      <c r="D51" s="5" t="s">
        <v>213</v>
      </c>
      <c r="E51" s="5" t="s">
        <v>486</v>
      </c>
      <c r="F51" s="5" t="s">
        <v>17</v>
      </c>
      <c r="G51" s="5" t="s">
        <v>252</v>
      </c>
      <c r="H51" s="10" t="s">
        <v>56</v>
      </c>
      <c r="I51" s="5" t="s">
        <v>1357</v>
      </c>
      <c r="J51" s="5" t="s">
        <v>1358</v>
      </c>
      <c r="K51" s="5"/>
      <c r="L51" s="5"/>
      <c r="M51" s="5"/>
      <c r="N51" s="22" t="s">
        <v>462</v>
      </c>
    </row>
    <row r="52" customFormat="false" ht="15" hidden="false" customHeight="true" outlineLevel="0" collapsed="false">
      <c r="A52" s="5" t="n">
        <v>51</v>
      </c>
      <c r="B52" s="6" t="s">
        <v>993</v>
      </c>
      <c r="C52" s="5"/>
      <c r="D52" s="5" t="s">
        <v>994</v>
      </c>
      <c r="E52" s="5" t="s">
        <v>65</v>
      </c>
      <c r="F52" s="5" t="s">
        <v>17</v>
      </c>
      <c r="G52" s="5" t="s">
        <v>71</v>
      </c>
      <c r="H52" s="7" t="s">
        <v>19</v>
      </c>
      <c r="I52" s="5" t="s">
        <v>1317</v>
      </c>
      <c r="J52" s="5" t="s">
        <v>1316</v>
      </c>
      <c r="K52" s="5"/>
      <c r="L52" s="5"/>
      <c r="M52" s="5"/>
      <c r="N52" s="18" t="s">
        <v>980</v>
      </c>
    </row>
    <row r="53" customFormat="false" ht="15" hidden="false" customHeight="true" outlineLevel="0" collapsed="false">
      <c r="A53" s="5" t="n">
        <v>52</v>
      </c>
      <c r="B53" s="6" t="s">
        <v>306</v>
      </c>
      <c r="C53" s="5"/>
      <c r="D53" s="5" t="s">
        <v>91</v>
      </c>
      <c r="E53" s="5" t="s">
        <v>307</v>
      </c>
      <c r="F53" s="5" t="s">
        <v>17</v>
      </c>
      <c r="G53" s="5" t="s">
        <v>93</v>
      </c>
      <c r="H53" s="9" t="s">
        <v>35</v>
      </c>
      <c r="I53" s="5" t="s">
        <v>1315</v>
      </c>
      <c r="J53" s="5" t="s">
        <v>1316</v>
      </c>
      <c r="K53" s="5"/>
      <c r="L53" s="5"/>
      <c r="M53" s="5"/>
      <c r="N53" s="19" t="s">
        <v>258</v>
      </c>
    </row>
    <row r="54" customFormat="false" ht="15" hidden="false" customHeight="true" outlineLevel="0" collapsed="false">
      <c r="A54" s="5" t="n">
        <v>53</v>
      </c>
      <c r="B54" s="6" t="s">
        <v>308</v>
      </c>
      <c r="C54" s="5" t="s">
        <v>309</v>
      </c>
      <c r="D54" s="5" t="s">
        <v>310</v>
      </c>
      <c r="E54" s="5" t="s">
        <v>311</v>
      </c>
      <c r="F54" s="5" t="s">
        <v>17</v>
      </c>
      <c r="G54" s="5" t="s">
        <v>312</v>
      </c>
      <c r="H54" s="9" t="s">
        <v>35</v>
      </c>
      <c r="I54" s="5" t="s">
        <v>1359</v>
      </c>
      <c r="J54" s="5" t="s">
        <v>1329</v>
      </c>
      <c r="K54" s="5"/>
      <c r="L54" s="5"/>
      <c r="M54" s="5"/>
      <c r="N54" s="19" t="s">
        <v>258</v>
      </c>
    </row>
    <row r="55" customFormat="false" ht="15" hidden="false" customHeight="true" outlineLevel="0" collapsed="false">
      <c r="A55" s="5" t="n">
        <v>54</v>
      </c>
      <c r="B55" s="6" t="s">
        <v>313</v>
      </c>
      <c r="C55" s="5" t="s">
        <v>314</v>
      </c>
      <c r="D55" s="5" t="s">
        <v>315</v>
      </c>
      <c r="E55" s="5" t="s">
        <v>16</v>
      </c>
      <c r="F55" s="5" t="s">
        <v>97</v>
      </c>
      <c r="G55" s="5" t="s">
        <v>146</v>
      </c>
      <c r="H55" s="9" t="s">
        <v>35</v>
      </c>
      <c r="I55" s="5" t="s">
        <v>1317</v>
      </c>
      <c r="J55" s="5" t="s">
        <v>1316</v>
      </c>
      <c r="K55" s="5" t="s">
        <v>1360</v>
      </c>
      <c r="L55" s="5"/>
      <c r="M55" s="5"/>
      <c r="N55" s="19" t="s">
        <v>258</v>
      </c>
    </row>
    <row r="56" customFormat="false" ht="15" hidden="false" customHeight="true" outlineLevel="0" collapsed="false">
      <c r="A56" s="5" t="n">
        <v>55</v>
      </c>
      <c r="B56" s="6" t="s">
        <v>995</v>
      </c>
      <c r="C56" s="5"/>
      <c r="D56" s="5" t="s">
        <v>996</v>
      </c>
      <c r="E56" s="5" t="s">
        <v>854</v>
      </c>
      <c r="F56" s="5" t="s">
        <v>772</v>
      </c>
      <c r="G56" s="5" t="s">
        <v>997</v>
      </c>
      <c r="H56" s="9" t="s">
        <v>35</v>
      </c>
      <c r="I56" s="5" t="s">
        <v>1317</v>
      </c>
      <c r="J56" s="5" t="s">
        <v>1316</v>
      </c>
      <c r="K56" s="5"/>
      <c r="L56" s="5"/>
      <c r="M56" s="5"/>
      <c r="N56" s="18" t="s">
        <v>980</v>
      </c>
    </row>
    <row r="57" customFormat="false" ht="15" hidden="false" customHeight="true" outlineLevel="0" collapsed="false">
      <c r="A57" s="5" t="n">
        <v>56</v>
      </c>
      <c r="B57" s="6" t="s">
        <v>316</v>
      </c>
      <c r="C57" s="5" t="s">
        <v>317</v>
      </c>
      <c r="D57" s="5" t="s">
        <v>69</v>
      </c>
      <c r="E57" s="5" t="s">
        <v>318</v>
      </c>
      <c r="F57" s="5" t="s">
        <v>17</v>
      </c>
      <c r="G57" s="5" t="s">
        <v>319</v>
      </c>
      <c r="H57" s="9" t="s">
        <v>35</v>
      </c>
      <c r="I57" s="5" t="s">
        <v>1328</v>
      </c>
      <c r="J57" s="5" t="s">
        <v>1329</v>
      </c>
      <c r="K57" s="5"/>
      <c r="L57" s="5" t="s">
        <v>1361</v>
      </c>
      <c r="M57" s="5"/>
      <c r="N57" s="19" t="s">
        <v>258</v>
      </c>
    </row>
    <row r="58" customFormat="false" ht="15" hidden="false" customHeight="true" outlineLevel="0" collapsed="false">
      <c r="A58" s="5" t="n">
        <v>57</v>
      </c>
      <c r="B58" s="6" t="s">
        <v>73</v>
      </c>
      <c r="C58" s="5" t="s">
        <v>74</v>
      </c>
      <c r="D58" s="5" t="s">
        <v>75</v>
      </c>
      <c r="E58" s="5" t="s">
        <v>76</v>
      </c>
      <c r="F58" s="5" t="s">
        <v>17</v>
      </c>
      <c r="G58" s="5" t="s">
        <v>77</v>
      </c>
      <c r="H58" s="8" t="s">
        <v>28</v>
      </c>
      <c r="I58" s="5" t="s">
        <v>1362</v>
      </c>
      <c r="J58" s="5" t="s">
        <v>1358</v>
      </c>
      <c r="K58" s="5"/>
      <c r="L58" s="5" t="s">
        <v>1363</v>
      </c>
      <c r="M58" s="5"/>
      <c r="N58" s="17" t="s">
        <v>13</v>
      </c>
    </row>
    <row r="59" customFormat="false" ht="15" hidden="false" customHeight="true" outlineLevel="0" collapsed="false">
      <c r="A59" s="5" t="n">
        <v>58</v>
      </c>
      <c r="B59" s="6" t="s">
        <v>320</v>
      </c>
      <c r="C59" s="5" t="s">
        <v>321</v>
      </c>
      <c r="D59" s="5" t="s">
        <v>322</v>
      </c>
      <c r="E59" s="5" t="s">
        <v>323</v>
      </c>
      <c r="F59" s="5" t="s">
        <v>103</v>
      </c>
      <c r="G59" s="5" t="s">
        <v>324</v>
      </c>
      <c r="H59" s="9" t="s">
        <v>35</v>
      </c>
      <c r="I59" s="5" t="s">
        <v>1315</v>
      </c>
      <c r="J59" s="5" t="s">
        <v>1316</v>
      </c>
      <c r="K59" s="5"/>
      <c r="L59" s="5"/>
      <c r="M59" s="5"/>
      <c r="N59" s="19" t="s">
        <v>258</v>
      </c>
    </row>
    <row r="60" customFormat="false" ht="15" hidden="false" customHeight="true" outlineLevel="0" collapsed="false">
      <c r="A60" s="5" t="n">
        <v>59</v>
      </c>
      <c r="B60" s="6" t="s">
        <v>827</v>
      </c>
      <c r="C60" s="5" t="s">
        <v>828</v>
      </c>
      <c r="D60" s="5" t="s">
        <v>829</v>
      </c>
      <c r="E60" s="5" t="s">
        <v>50</v>
      </c>
      <c r="F60" s="5" t="s">
        <v>97</v>
      </c>
      <c r="G60" s="5" t="s">
        <v>146</v>
      </c>
      <c r="H60" s="10" t="s">
        <v>56</v>
      </c>
      <c r="I60" s="5" t="s">
        <v>1317</v>
      </c>
      <c r="J60" s="5" t="s">
        <v>1316</v>
      </c>
      <c r="K60" s="5" t="s">
        <v>1364</v>
      </c>
      <c r="L60" s="5" t="s">
        <v>1365</v>
      </c>
      <c r="M60" s="5"/>
      <c r="N60" s="23" t="s">
        <v>810</v>
      </c>
    </row>
    <row r="61" customFormat="false" ht="15" hidden="false" customHeight="true" outlineLevel="0" collapsed="false">
      <c r="A61" s="5" t="n">
        <v>60</v>
      </c>
      <c r="B61" s="6" t="s">
        <v>998</v>
      </c>
      <c r="C61" s="5"/>
      <c r="D61" s="5" t="s">
        <v>614</v>
      </c>
      <c r="E61" s="5" t="s">
        <v>999</v>
      </c>
      <c r="F61" s="5" t="s">
        <v>1000</v>
      </c>
      <c r="G61" s="5" t="s">
        <v>1001</v>
      </c>
      <c r="H61" s="9" t="s">
        <v>35</v>
      </c>
      <c r="I61" s="5" t="s">
        <v>1317</v>
      </c>
      <c r="J61" s="5" t="s">
        <v>1316</v>
      </c>
      <c r="K61" s="5"/>
      <c r="L61" s="5" t="s">
        <v>1366</v>
      </c>
      <c r="M61" s="5"/>
      <c r="N61" s="18" t="s">
        <v>980</v>
      </c>
    </row>
    <row r="62" customFormat="false" ht="15" hidden="false" customHeight="true" outlineLevel="0" collapsed="false">
      <c r="A62" s="5" t="n">
        <v>61</v>
      </c>
      <c r="B62" s="6" t="s">
        <v>1142</v>
      </c>
      <c r="C62" s="5"/>
      <c r="D62" s="5" t="s">
        <v>1143</v>
      </c>
      <c r="E62" s="5" t="s">
        <v>1144</v>
      </c>
      <c r="F62" s="5" t="s">
        <v>885</v>
      </c>
      <c r="G62" s="5" t="s">
        <v>885</v>
      </c>
      <c r="H62" s="9" t="s">
        <v>35</v>
      </c>
      <c r="I62" s="5" t="s">
        <v>1317</v>
      </c>
      <c r="J62" s="5" t="s">
        <v>1316</v>
      </c>
      <c r="K62" s="5"/>
      <c r="L62" s="5" t="s">
        <v>1367</v>
      </c>
      <c r="M62" s="5"/>
      <c r="N62" s="21" t="s">
        <v>1130</v>
      </c>
    </row>
    <row r="63" customFormat="false" ht="15" hidden="false" customHeight="true" outlineLevel="0" collapsed="false">
      <c r="A63" s="5" t="n">
        <v>62</v>
      </c>
      <c r="B63" s="6" t="s">
        <v>674</v>
      </c>
      <c r="C63" s="5" t="s">
        <v>675</v>
      </c>
      <c r="D63" s="5" t="s">
        <v>676</v>
      </c>
      <c r="E63" s="5" t="s">
        <v>304</v>
      </c>
      <c r="F63" s="5" t="s">
        <v>17</v>
      </c>
      <c r="G63" s="5" t="s">
        <v>677</v>
      </c>
      <c r="H63" s="10" t="s">
        <v>56</v>
      </c>
      <c r="I63" s="5" t="s">
        <v>1317</v>
      </c>
      <c r="J63" s="5" t="s">
        <v>1316</v>
      </c>
      <c r="K63" s="5"/>
      <c r="L63" s="5"/>
      <c r="M63" s="5"/>
      <c r="N63" s="20" t="s">
        <v>657</v>
      </c>
    </row>
    <row r="64" customFormat="false" ht="15" hidden="false" customHeight="true" outlineLevel="0" collapsed="false">
      <c r="A64" s="5" t="n">
        <v>63</v>
      </c>
      <c r="B64" s="6" t="s">
        <v>1003</v>
      </c>
      <c r="C64" s="5"/>
      <c r="D64" s="5" t="s">
        <v>1004</v>
      </c>
      <c r="E64" s="5" t="s">
        <v>780</v>
      </c>
      <c r="F64" s="5" t="s">
        <v>471</v>
      </c>
      <c r="G64" s="5" t="s">
        <v>1005</v>
      </c>
      <c r="H64" s="7" t="s">
        <v>19</v>
      </c>
      <c r="I64" s="5" t="s">
        <v>1317</v>
      </c>
      <c r="J64" s="5" t="s">
        <v>1316</v>
      </c>
      <c r="K64" s="5"/>
      <c r="L64" s="5"/>
      <c r="M64" s="5"/>
      <c r="N64" s="18" t="s">
        <v>980</v>
      </c>
    </row>
    <row r="65" customFormat="false" ht="15" hidden="false" customHeight="true" outlineLevel="0" collapsed="false">
      <c r="A65" s="5" t="n">
        <v>64</v>
      </c>
      <c r="B65" s="6" t="s">
        <v>1146</v>
      </c>
      <c r="C65" s="5"/>
      <c r="D65" s="5" t="s">
        <v>1147</v>
      </c>
      <c r="E65" s="5" t="s">
        <v>304</v>
      </c>
      <c r="F65" s="5" t="s">
        <v>1148</v>
      </c>
      <c r="G65" s="5" t="s">
        <v>1149</v>
      </c>
      <c r="H65" s="9" t="s">
        <v>35</v>
      </c>
      <c r="I65" s="5" t="s">
        <v>1317</v>
      </c>
      <c r="J65" s="5" t="s">
        <v>1316</v>
      </c>
      <c r="K65" s="5"/>
      <c r="L65" s="5" t="s">
        <v>1368</v>
      </c>
      <c r="M65" s="5"/>
      <c r="N65" s="21" t="s">
        <v>1130</v>
      </c>
    </row>
    <row r="66" customFormat="false" ht="15" hidden="false" customHeight="true" outlineLevel="0" collapsed="false">
      <c r="A66" s="5" t="n">
        <v>65</v>
      </c>
      <c r="B66" s="6" t="s">
        <v>325</v>
      </c>
      <c r="C66" s="5"/>
      <c r="D66" s="5" t="s">
        <v>159</v>
      </c>
      <c r="E66" s="5" t="s">
        <v>326</v>
      </c>
      <c r="F66" s="5" t="s">
        <v>17</v>
      </c>
      <c r="G66" s="5" t="s">
        <v>280</v>
      </c>
      <c r="H66" s="8" t="s">
        <v>28</v>
      </c>
      <c r="I66" s="5" t="s">
        <v>1315</v>
      </c>
      <c r="J66" s="5" t="s">
        <v>1316</v>
      </c>
      <c r="K66" s="5"/>
      <c r="L66" s="5"/>
      <c r="M66" s="5"/>
      <c r="N66" s="19" t="s">
        <v>258</v>
      </c>
    </row>
    <row r="67" customFormat="false" ht="15" hidden="false" customHeight="true" outlineLevel="0" collapsed="false">
      <c r="A67" s="5" t="n">
        <v>66</v>
      </c>
      <c r="B67" s="6" t="s">
        <v>678</v>
      </c>
      <c r="C67" s="5"/>
      <c r="D67" s="5" t="s">
        <v>679</v>
      </c>
      <c r="E67" s="5" t="s">
        <v>304</v>
      </c>
      <c r="F67" s="5" t="s">
        <v>17</v>
      </c>
      <c r="G67" s="5" t="s">
        <v>490</v>
      </c>
      <c r="H67" s="9" t="s">
        <v>35</v>
      </c>
      <c r="I67" s="5" t="s">
        <v>1317</v>
      </c>
      <c r="J67" s="5" t="s">
        <v>1316</v>
      </c>
      <c r="K67" s="5" t="s">
        <v>1369</v>
      </c>
      <c r="L67" s="5"/>
      <c r="M67" s="5"/>
      <c r="N67" s="20" t="s">
        <v>657</v>
      </c>
    </row>
    <row r="68" customFormat="false" ht="15" hidden="false" customHeight="true" outlineLevel="0" collapsed="false">
      <c r="A68" s="5" t="n">
        <v>67</v>
      </c>
      <c r="B68" s="6" t="s">
        <v>1151</v>
      </c>
      <c r="C68" s="5"/>
      <c r="D68" s="5" t="s">
        <v>1152</v>
      </c>
      <c r="E68" s="5" t="s">
        <v>184</v>
      </c>
      <c r="F68" s="5" t="s">
        <v>471</v>
      </c>
      <c r="G68" s="5" t="s">
        <v>1153</v>
      </c>
      <c r="H68" s="8" t="s">
        <v>28</v>
      </c>
      <c r="I68" s="5" t="s">
        <v>1317</v>
      </c>
      <c r="J68" s="5" t="s">
        <v>1316</v>
      </c>
      <c r="K68" s="5"/>
      <c r="L68" s="5"/>
      <c r="M68" s="5"/>
      <c r="N68" s="21" t="s">
        <v>1130</v>
      </c>
    </row>
    <row r="69" customFormat="false" ht="15" hidden="false" customHeight="true" outlineLevel="0" collapsed="false">
      <c r="A69" s="5" t="n">
        <v>68</v>
      </c>
      <c r="B69" s="6" t="s">
        <v>327</v>
      </c>
      <c r="C69" s="5"/>
      <c r="D69" s="5" t="s">
        <v>328</v>
      </c>
      <c r="E69" s="5" t="s">
        <v>329</v>
      </c>
      <c r="F69" s="5" t="s">
        <v>103</v>
      </c>
      <c r="G69" s="5" t="s">
        <v>146</v>
      </c>
      <c r="H69" s="7" t="s">
        <v>19</v>
      </c>
      <c r="I69" s="5" t="s">
        <v>1317</v>
      </c>
      <c r="J69" s="5" t="s">
        <v>1316</v>
      </c>
      <c r="K69" s="5"/>
      <c r="L69" s="5"/>
      <c r="M69" s="5"/>
      <c r="N69" s="19" t="s">
        <v>258</v>
      </c>
    </row>
    <row r="70" customFormat="false" ht="15" hidden="false" customHeight="true" outlineLevel="0" collapsed="false">
      <c r="A70" s="5" t="n">
        <v>69</v>
      </c>
      <c r="B70" s="6" t="s">
        <v>830</v>
      </c>
      <c r="C70" s="5" t="s">
        <v>831</v>
      </c>
      <c r="D70" s="5" t="s">
        <v>832</v>
      </c>
      <c r="E70" s="5" t="s">
        <v>833</v>
      </c>
      <c r="F70" s="5" t="s">
        <v>834</v>
      </c>
      <c r="G70" s="5" t="s">
        <v>834</v>
      </c>
      <c r="H70" s="7" t="s">
        <v>19</v>
      </c>
      <c r="I70" s="5" t="s">
        <v>1370</v>
      </c>
      <c r="J70" s="5" t="s">
        <v>1371</v>
      </c>
      <c r="K70" s="5"/>
      <c r="L70" s="5" t="s">
        <v>1321</v>
      </c>
      <c r="M70" s="5"/>
      <c r="N70" s="23" t="s">
        <v>810</v>
      </c>
    </row>
    <row r="71" customFormat="false" ht="15" hidden="false" customHeight="true" outlineLevel="0" collapsed="false">
      <c r="A71" s="5" t="n">
        <v>70</v>
      </c>
      <c r="B71" s="6" t="s">
        <v>1154</v>
      </c>
      <c r="C71" s="5"/>
      <c r="D71" s="5" t="s">
        <v>1155</v>
      </c>
      <c r="E71" s="5" t="s">
        <v>357</v>
      </c>
      <c r="F71" s="5" t="s">
        <v>1156</v>
      </c>
      <c r="G71" s="5" t="s">
        <v>1157</v>
      </c>
      <c r="H71" s="8" t="s">
        <v>28</v>
      </c>
      <c r="I71" s="5" t="s">
        <v>1317</v>
      </c>
      <c r="J71" s="5" t="s">
        <v>1316</v>
      </c>
      <c r="K71" s="5"/>
      <c r="L71" s="5" t="s">
        <v>1372</v>
      </c>
      <c r="M71" s="5"/>
      <c r="N71" s="21" t="s">
        <v>1130</v>
      </c>
    </row>
    <row r="72" customFormat="false" ht="15" hidden="false" customHeight="true" outlineLevel="0" collapsed="false">
      <c r="A72" s="5" t="n">
        <v>71</v>
      </c>
      <c r="B72" s="6" t="s">
        <v>680</v>
      </c>
      <c r="C72" s="5"/>
      <c r="D72" s="5" t="s">
        <v>213</v>
      </c>
      <c r="E72" s="5" t="s">
        <v>50</v>
      </c>
      <c r="F72" s="5" t="s">
        <v>17</v>
      </c>
      <c r="G72" s="5" t="s">
        <v>156</v>
      </c>
      <c r="H72" s="8" t="s">
        <v>28</v>
      </c>
      <c r="I72" s="5" t="s">
        <v>1357</v>
      </c>
      <c r="J72" s="5" t="s">
        <v>1358</v>
      </c>
      <c r="K72" s="5"/>
      <c r="L72" s="5"/>
      <c r="M72" s="5"/>
      <c r="N72" s="20" t="s">
        <v>657</v>
      </c>
    </row>
    <row r="73" customFormat="false" ht="15" hidden="false" customHeight="true" outlineLevel="0" collapsed="false">
      <c r="A73" s="5" t="n">
        <v>72</v>
      </c>
      <c r="B73" s="6" t="s">
        <v>500</v>
      </c>
      <c r="C73" s="5" t="s">
        <v>501</v>
      </c>
      <c r="D73" s="5" t="s">
        <v>502</v>
      </c>
      <c r="E73" s="5" t="s">
        <v>347</v>
      </c>
      <c r="F73" s="5" t="s">
        <v>17</v>
      </c>
      <c r="G73" s="5" t="s">
        <v>490</v>
      </c>
      <c r="H73" s="8" t="s">
        <v>28</v>
      </c>
      <c r="I73" s="5" t="s">
        <v>1317</v>
      </c>
      <c r="J73" s="5" t="s">
        <v>1316</v>
      </c>
      <c r="K73" s="5"/>
      <c r="L73" s="5"/>
      <c r="M73" s="5"/>
      <c r="N73" s="22" t="s">
        <v>462</v>
      </c>
    </row>
    <row r="74" customFormat="false" ht="15" hidden="false" customHeight="true" outlineLevel="0" collapsed="false">
      <c r="A74" s="5" t="n">
        <v>73</v>
      </c>
      <c r="B74" s="6" t="s">
        <v>1007</v>
      </c>
      <c r="C74" s="5"/>
      <c r="D74" s="5" t="s">
        <v>1008</v>
      </c>
      <c r="E74" s="5" t="s">
        <v>347</v>
      </c>
      <c r="F74" s="5" t="s">
        <v>17</v>
      </c>
      <c r="G74" s="5" t="s">
        <v>1009</v>
      </c>
      <c r="H74" s="10" t="s">
        <v>56</v>
      </c>
      <c r="I74" s="5" t="s">
        <v>1317</v>
      </c>
      <c r="J74" s="5" t="s">
        <v>1316</v>
      </c>
      <c r="K74" s="5"/>
      <c r="L74" s="5"/>
      <c r="M74" s="5"/>
      <c r="N74" s="18" t="s">
        <v>980</v>
      </c>
    </row>
    <row r="75" customFormat="false" ht="15" hidden="false" customHeight="true" outlineLevel="0" collapsed="false">
      <c r="A75" s="5" t="n">
        <v>74</v>
      </c>
      <c r="B75" s="6" t="s">
        <v>79</v>
      </c>
      <c r="C75" s="5"/>
      <c r="D75" s="5" t="s">
        <v>80</v>
      </c>
      <c r="E75" s="5" t="s">
        <v>81</v>
      </c>
      <c r="F75" s="5" t="s">
        <v>17</v>
      </c>
      <c r="G75" s="5" t="s">
        <v>82</v>
      </c>
      <c r="H75" s="9" t="s">
        <v>35</v>
      </c>
      <c r="I75" s="5" t="s">
        <v>1317</v>
      </c>
      <c r="J75" s="5" t="s">
        <v>1316</v>
      </c>
      <c r="K75" s="5"/>
      <c r="L75" s="5"/>
      <c r="M75" s="5"/>
      <c r="N75" s="17" t="s">
        <v>13</v>
      </c>
    </row>
    <row r="76" customFormat="false" ht="23.25" hidden="false" customHeight="true" outlineLevel="0" collapsed="false">
      <c r="A76" s="5" t="n">
        <v>75</v>
      </c>
      <c r="B76" s="6" t="s">
        <v>1159</v>
      </c>
      <c r="C76" s="5"/>
      <c r="D76" s="5" t="s">
        <v>1160</v>
      </c>
      <c r="E76" s="5" t="s">
        <v>569</v>
      </c>
      <c r="F76" s="5" t="s">
        <v>1161</v>
      </c>
      <c r="G76" s="5" t="s">
        <v>1162</v>
      </c>
      <c r="H76" s="8" t="s">
        <v>28</v>
      </c>
      <c r="I76" s="5" t="s">
        <v>1317</v>
      </c>
      <c r="J76" s="5" t="s">
        <v>1316</v>
      </c>
      <c r="K76" s="5" t="s">
        <v>1373</v>
      </c>
      <c r="L76" s="5" t="s">
        <v>1374</v>
      </c>
      <c r="M76" s="5"/>
      <c r="N76" s="21" t="s">
        <v>1130</v>
      </c>
    </row>
    <row r="77" customFormat="false" ht="23.25" hidden="false" customHeight="true" outlineLevel="0" collapsed="false">
      <c r="A77" s="5" t="n">
        <v>76</v>
      </c>
      <c r="B77" s="6" t="s">
        <v>1164</v>
      </c>
      <c r="C77" s="5"/>
      <c r="D77" s="5" t="s">
        <v>1165</v>
      </c>
      <c r="E77" s="5" t="s">
        <v>357</v>
      </c>
      <c r="F77" s="5" t="s">
        <v>109</v>
      </c>
      <c r="G77" s="5" t="s">
        <v>1166</v>
      </c>
      <c r="H77" s="8" t="s">
        <v>28</v>
      </c>
      <c r="I77" s="5" t="s">
        <v>1317</v>
      </c>
      <c r="J77" s="5" t="s">
        <v>1316</v>
      </c>
      <c r="K77" s="5"/>
      <c r="L77" s="5"/>
      <c r="M77" s="5"/>
      <c r="N77" s="21" t="s">
        <v>1130</v>
      </c>
    </row>
    <row r="78" customFormat="false" ht="15" hidden="false" customHeight="true" outlineLevel="0" collapsed="false">
      <c r="A78" s="5" t="n">
        <v>77</v>
      </c>
      <c r="B78" s="6" t="s">
        <v>503</v>
      </c>
      <c r="C78" s="5" t="s">
        <v>504</v>
      </c>
      <c r="D78" s="5" t="s">
        <v>505</v>
      </c>
      <c r="E78" s="5" t="s">
        <v>506</v>
      </c>
      <c r="F78" s="5" t="s">
        <v>17</v>
      </c>
      <c r="G78" s="5" t="s">
        <v>507</v>
      </c>
      <c r="H78" s="8" t="s">
        <v>28</v>
      </c>
      <c r="I78" s="5" t="s">
        <v>1317</v>
      </c>
      <c r="J78" s="5" t="s">
        <v>1316</v>
      </c>
      <c r="K78" s="5"/>
      <c r="L78" s="5"/>
      <c r="M78" s="5"/>
      <c r="N78" s="22" t="s">
        <v>462</v>
      </c>
    </row>
    <row r="79" customFormat="false" ht="23.25" hidden="false" customHeight="true" outlineLevel="0" collapsed="false">
      <c r="A79" s="5" t="n">
        <v>78</v>
      </c>
      <c r="B79" s="6" t="s">
        <v>1010</v>
      </c>
      <c r="C79" s="5" t="s">
        <v>1011</v>
      </c>
      <c r="D79" s="5" t="s">
        <v>1012</v>
      </c>
      <c r="E79" s="5" t="s">
        <v>271</v>
      </c>
      <c r="F79" s="5" t="s">
        <v>1013</v>
      </c>
      <c r="G79" s="5" t="s">
        <v>1014</v>
      </c>
      <c r="H79" s="10" t="s">
        <v>56</v>
      </c>
      <c r="I79" s="5" t="s">
        <v>1317</v>
      </c>
      <c r="J79" s="5" t="s">
        <v>1316</v>
      </c>
      <c r="K79" s="5" t="s">
        <v>1375</v>
      </c>
      <c r="L79" s="5"/>
      <c r="M79" s="5"/>
      <c r="N79" s="18" t="s">
        <v>980</v>
      </c>
    </row>
    <row r="80" customFormat="false" ht="15" hidden="false" customHeight="true" outlineLevel="0" collapsed="false">
      <c r="A80" s="5" t="n">
        <v>79</v>
      </c>
      <c r="B80" s="6" t="s">
        <v>835</v>
      </c>
      <c r="C80" s="5"/>
      <c r="D80" s="5" t="s">
        <v>450</v>
      </c>
      <c r="E80" s="5" t="s">
        <v>205</v>
      </c>
      <c r="F80" s="5" t="s">
        <v>17</v>
      </c>
      <c r="G80" s="5" t="s">
        <v>836</v>
      </c>
      <c r="H80" s="7" t="s">
        <v>19</v>
      </c>
      <c r="I80" s="5" t="s">
        <v>1376</v>
      </c>
      <c r="J80" s="5" t="s">
        <v>1316</v>
      </c>
      <c r="K80" s="5"/>
      <c r="L80" s="5" t="s">
        <v>1377</v>
      </c>
      <c r="M80" s="5"/>
      <c r="N80" s="23" t="s">
        <v>810</v>
      </c>
    </row>
    <row r="81" customFormat="false" ht="23.25" hidden="false" customHeight="true" outlineLevel="0" collapsed="false">
      <c r="A81" s="5" t="n">
        <v>80</v>
      </c>
      <c r="B81" s="6" t="s">
        <v>1016</v>
      </c>
      <c r="C81" s="5"/>
      <c r="D81" s="5" t="s">
        <v>1017</v>
      </c>
      <c r="E81" s="5" t="s">
        <v>669</v>
      </c>
      <c r="F81" s="5" t="s">
        <v>17</v>
      </c>
      <c r="G81" s="5" t="s">
        <v>1018</v>
      </c>
      <c r="H81" s="8" t="s">
        <v>28</v>
      </c>
      <c r="I81" s="5" t="s">
        <v>1317</v>
      </c>
      <c r="J81" s="5" t="s">
        <v>1316</v>
      </c>
      <c r="K81" s="5" t="s">
        <v>1378</v>
      </c>
      <c r="L81" s="5"/>
      <c r="M81" s="5"/>
      <c r="N81" s="18" t="s">
        <v>980</v>
      </c>
    </row>
    <row r="82" customFormat="false" ht="23.25" hidden="false" customHeight="true" outlineLevel="0" collapsed="false">
      <c r="A82" s="5" t="n">
        <v>81</v>
      </c>
      <c r="B82" s="6" t="s">
        <v>330</v>
      </c>
      <c r="C82" s="5" t="s">
        <v>331</v>
      </c>
      <c r="D82" s="5" t="s">
        <v>332</v>
      </c>
      <c r="E82" s="5" t="s">
        <v>108</v>
      </c>
      <c r="F82" s="5" t="s">
        <v>17</v>
      </c>
      <c r="G82" s="5" t="s">
        <v>333</v>
      </c>
      <c r="H82" s="10" t="s">
        <v>56</v>
      </c>
      <c r="I82" s="5" t="s">
        <v>1317</v>
      </c>
      <c r="J82" s="5" t="s">
        <v>1316</v>
      </c>
      <c r="K82" s="5" t="s">
        <v>1379</v>
      </c>
      <c r="L82" s="5" t="s">
        <v>1380</v>
      </c>
      <c r="M82" s="5"/>
      <c r="N82" s="19" t="s">
        <v>258</v>
      </c>
    </row>
    <row r="83" customFormat="false" ht="15" hidden="false" customHeight="true" outlineLevel="0" collapsed="false">
      <c r="A83" s="5" t="n">
        <v>82</v>
      </c>
      <c r="B83" s="6" t="s">
        <v>84</v>
      </c>
      <c r="C83" s="5" t="s">
        <v>85</v>
      </c>
      <c r="D83" s="5" t="s">
        <v>86</v>
      </c>
      <c r="E83" s="5" t="s">
        <v>87</v>
      </c>
      <c r="F83" s="5" t="s">
        <v>17</v>
      </c>
      <c r="G83" s="5" t="s">
        <v>88</v>
      </c>
      <c r="H83" s="7" t="s">
        <v>19</v>
      </c>
      <c r="I83" s="5" t="s">
        <v>1315</v>
      </c>
      <c r="J83" s="5" t="s">
        <v>1316</v>
      </c>
      <c r="K83" s="5"/>
      <c r="L83" s="5"/>
      <c r="M83" s="5"/>
      <c r="N83" s="17" t="s">
        <v>13</v>
      </c>
    </row>
    <row r="84" customFormat="false" ht="15" hidden="false" customHeight="true" outlineLevel="0" collapsed="false">
      <c r="A84" s="5" t="n">
        <v>83</v>
      </c>
      <c r="B84" s="6" t="s">
        <v>334</v>
      </c>
      <c r="C84" s="5" t="s">
        <v>335</v>
      </c>
      <c r="D84" s="5" t="s">
        <v>188</v>
      </c>
      <c r="E84" s="5" t="s">
        <v>65</v>
      </c>
      <c r="F84" s="5" t="s">
        <v>17</v>
      </c>
      <c r="G84" s="5" t="s">
        <v>336</v>
      </c>
      <c r="H84" s="9" t="s">
        <v>35</v>
      </c>
      <c r="I84" s="5" t="s">
        <v>1317</v>
      </c>
      <c r="J84" s="5" t="s">
        <v>1316</v>
      </c>
      <c r="K84" s="5"/>
      <c r="L84" s="5"/>
      <c r="M84" s="5"/>
      <c r="N84" s="19" t="s">
        <v>258</v>
      </c>
    </row>
    <row r="85" customFormat="false" ht="15" hidden="false" customHeight="true" outlineLevel="0" collapsed="false">
      <c r="A85" s="5" t="n">
        <v>84</v>
      </c>
      <c r="B85" s="6" t="s">
        <v>1019</v>
      </c>
      <c r="C85" s="5"/>
      <c r="D85" s="5" t="s">
        <v>1020</v>
      </c>
      <c r="E85" s="5" t="s">
        <v>763</v>
      </c>
      <c r="F85" s="5" t="s">
        <v>772</v>
      </c>
      <c r="G85" s="5" t="s">
        <v>1021</v>
      </c>
      <c r="H85" s="10" t="s">
        <v>56</v>
      </c>
      <c r="I85" s="5" t="s">
        <v>1317</v>
      </c>
      <c r="J85" s="5" t="s">
        <v>1316</v>
      </c>
      <c r="K85" s="5"/>
      <c r="L85" s="5"/>
      <c r="M85" s="5"/>
      <c r="N85" s="18" t="s">
        <v>980</v>
      </c>
    </row>
    <row r="86" customFormat="false" ht="15" hidden="false" customHeight="true" outlineLevel="0" collapsed="false">
      <c r="A86" s="5" t="n">
        <v>85</v>
      </c>
      <c r="B86" s="6" t="s">
        <v>681</v>
      </c>
      <c r="C86" s="5"/>
      <c r="D86" s="5" t="s">
        <v>169</v>
      </c>
      <c r="E86" s="5" t="s">
        <v>543</v>
      </c>
      <c r="F86" s="5" t="s">
        <v>17</v>
      </c>
      <c r="G86" s="5" t="s">
        <v>682</v>
      </c>
      <c r="H86" s="8" t="s">
        <v>28</v>
      </c>
      <c r="I86" s="5" t="s">
        <v>1317</v>
      </c>
      <c r="J86" s="5" t="s">
        <v>1316</v>
      </c>
      <c r="K86" s="5"/>
      <c r="L86" s="5"/>
      <c r="M86" s="5"/>
      <c r="N86" s="20" t="s">
        <v>657</v>
      </c>
    </row>
    <row r="87" customFormat="false" ht="15" hidden="false" customHeight="true" outlineLevel="0" collapsed="false">
      <c r="A87" s="5" t="n">
        <v>86</v>
      </c>
      <c r="B87" s="6" t="s">
        <v>838</v>
      </c>
      <c r="C87" s="5" t="s">
        <v>839</v>
      </c>
      <c r="D87" s="5" t="s">
        <v>840</v>
      </c>
      <c r="E87" s="5" t="s">
        <v>841</v>
      </c>
      <c r="F87" s="5" t="s">
        <v>33</v>
      </c>
      <c r="G87" s="5" t="s">
        <v>842</v>
      </c>
      <c r="H87" s="9" t="s">
        <v>35</v>
      </c>
      <c r="I87" s="5" t="s">
        <v>1317</v>
      </c>
      <c r="J87" s="5" t="s">
        <v>1316</v>
      </c>
      <c r="K87" s="5"/>
      <c r="L87" s="5"/>
      <c r="M87" s="5"/>
      <c r="N87" s="23" t="s">
        <v>810</v>
      </c>
    </row>
    <row r="88" customFormat="false" ht="34.5" hidden="false" customHeight="true" outlineLevel="0" collapsed="false">
      <c r="A88" s="5" t="n">
        <v>87</v>
      </c>
      <c r="B88" s="6" t="s">
        <v>1168</v>
      </c>
      <c r="C88" s="5"/>
      <c r="D88" s="5" t="s">
        <v>1169</v>
      </c>
      <c r="E88" s="5" t="s">
        <v>304</v>
      </c>
      <c r="F88" s="5" t="s">
        <v>708</v>
      </c>
      <c r="G88" s="5" t="s">
        <v>1170</v>
      </c>
      <c r="H88" s="9" t="s">
        <v>35</v>
      </c>
      <c r="I88" s="5" t="s">
        <v>1317</v>
      </c>
      <c r="J88" s="5" t="s">
        <v>1316</v>
      </c>
      <c r="K88" s="5"/>
      <c r="L88" s="5" t="s">
        <v>1381</v>
      </c>
      <c r="M88" s="5"/>
      <c r="N88" s="21" t="s">
        <v>1130</v>
      </c>
    </row>
    <row r="89" customFormat="false" ht="15" hidden="false" customHeight="true" outlineLevel="0" collapsed="false">
      <c r="A89" s="5" t="n">
        <v>88</v>
      </c>
      <c r="B89" s="6" t="s">
        <v>1022</v>
      </c>
      <c r="C89" s="5"/>
      <c r="D89" s="5" t="s">
        <v>1023</v>
      </c>
      <c r="E89" s="5" t="s">
        <v>352</v>
      </c>
      <c r="F89" s="5" t="s">
        <v>17</v>
      </c>
      <c r="G89" s="5" t="s">
        <v>1024</v>
      </c>
      <c r="H89" s="8" t="s">
        <v>28</v>
      </c>
      <c r="I89" s="5" t="s">
        <v>1382</v>
      </c>
      <c r="J89" s="5" t="s">
        <v>1316</v>
      </c>
      <c r="K89" s="5"/>
      <c r="L89" s="5" t="s">
        <v>1383</v>
      </c>
      <c r="M89" s="5"/>
      <c r="N89" s="18" t="s">
        <v>980</v>
      </c>
    </row>
    <row r="90" customFormat="false" ht="15" hidden="false" customHeight="true" outlineLevel="0" collapsed="false">
      <c r="A90" s="5" t="n">
        <v>89</v>
      </c>
      <c r="B90" s="6" t="s">
        <v>508</v>
      </c>
      <c r="C90" s="5" t="s">
        <v>509</v>
      </c>
      <c r="D90" s="5" t="s">
        <v>510</v>
      </c>
      <c r="E90" s="5" t="s">
        <v>441</v>
      </c>
      <c r="F90" s="5" t="s">
        <v>139</v>
      </c>
      <c r="G90" s="5" t="s">
        <v>139</v>
      </c>
      <c r="H90" s="7" t="s">
        <v>19</v>
      </c>
      <c r="I90" s="5" t="s">
        <v>1317</v>
      </c>
      <c r="J90" s="5" t="s">
        <v>1316</v>
      </c>
      <c r="K90" s="5"/>
      <c r="L90" s="5"/>
      <c r="M90" s="5"/>
      <c r="N90" s="22" t="s">
        <v>462</v>
      </c>
    </row>
    <row r="91" customFormat="false" ht="23.25" hidden="false" customHeight="true" outlineLevel="0" collapsed="false">
      <c r="A91" s="5" t="n">
        <v>90</v>
      </c>
      <c r="B91" s="6" t="s">
        <v>1172</v>
      </c>
      <c r="C91" s="5" t="s">
        <v>1173</v>
      </c>
      <c r="D91" s="5" t="s">
        <v>1174</v>
      </c>
      <c r="E91" s="5" t="s">
        <v>1175</v>
      </c>
      <c r="F91" s="5" t="s">
        <v>934</v>
      </c>
      <c r="G91" s="5" t="s">
        <v>1176</v>
      </c>
      <c r="H91" s="9" t="s">
        <v>35</v>
      </c>
      <c r="I91" s="5" t="s">
        <v>1384</v>
      </c>
      <c r="J91" s="5" t="s">
        <v>1316</v>
      </c>
      <c r="K91" s="5"/>
      <c r="L91" s="5" t="s">
        <v>1385</v>
      </c>
      <c r="M91" s="5"/>
      <c r="N91" s="21" t="s">
        <v>1130</v>
      </c>
    </row>
    <row r="92" customFormat="false" ht="15" hidden="false" customHeight="true" outlineLevel="0" collapsed="false">
      <c r="A92" s="5" t="n">
        <v>91</v>
      </c>
      <c r="B92" s="6" t="s">
        <v>511</v>
      </c>
      <c r="C92" s="5" t="s">
        <v>512</v>
      </c>
      <c r="D92" s="5" t="s">
        <v>513</v>
      </c>
      <c r="E92" s="5" t="s">
        <v>514</v>
      </c>
      <c r="F92" s="5" t="s">
        <v>17</v>
      </c>
      <c r="G92" s="5" t="s">
        <v>515</v>
      </c>
      <c r="H92" s="10" t="s">
        <v>56</v>
      </c>
      <c r="I92" s="5" t="s">
        <v>1317</v>
      </c>
      <c r="J92" s="5" t="s">
        <v>1316</v>
      </c>
      <c r="K92" s="5" t="s">
        <v>1386</v>
      </c>
      <c r="L92" s="5"/>
      <c r="M92" s="5"/>
      <c r="N92" s="22" t="s">
        <v>462</v>
      </c>
    </row>
    <row r="93" customFormat="false" ht="15" hidden="false" customHeight="true" outlineLevel="0" collapsed="false">
      <c r="A93" s="5" t="n">
        <v>92</v>
      </c>
      <c r="B93" s="6" t="s">
        <v>89</v>
      </c>
      <c r="C93" s="5" t="s">
        <v>90</v>
      </c>
      <c r="D93" s="5" t="s">
        <v>91</v>
      </c>
      <c r="E93" s="5" t="s">
        <v>92</v>
      </c>
      <c r="F93" s="5" t="s">
        <v>17</v>
      </c>
      <c r="G93" s="5" t="s">
        <v>93</v>
      </c>
      <c r="H93" s="7" t="s">
        <v>19</v>
      </c>
      <c r="I93" s="5" t="s">
        <v>1315</v>
      </c>
      <c r="J93" s="5" t="s">
        <v>1316</v>
      </c>
      <c r="K93" s="5"/>
      <c r="L93" s="5" t="s">
        <v>1387</v>
      </c>
      <c r="M93" s="5"/>
      <c r="N93" s="17" t="s">
        <v>13</v>
      </c>
    </row>
    <row r="94" customFormat="false" ht="15" hidden="false" customHeight="true" outlineLevel="0" collapsed="false">
      <c r="A94" s="5" t="n">
        <v>93</v>
      </c>
      <c r="B94" s="6" t="s">
        <v>94</v>
      </c>
      <c r="C94" s="5"/>
      <c r="D94" s="5" t="s">
        <v>95</v>
      </c>
      <c r="E94" s="5" t="s">
        <v>96</v>
      </c>
      <c r="F94" s="5" t="s">
        <v>97</v>
      </c>
      <c r="G94" s="5" t="s">
        <v>98</v>
      </c>
      <c r="H94" s="7" t="s">
        <v>19</v>
      </c>
      <c r="I94" s="5" t="s">
        <v>1315</v>
      </c>
      <c r="J94" s="5" t="s">
        <v>1316</v>
      </c>
      <c r="K94" s="5"/>
      <c r="L94" s="5"/>
      <c r="M94" s="5"/>
      <c r="N94" s="17" t="s">
        <v>13</v>
      </c>
    </row>
    <row r="95" customFormat="false" ht="15" hidden="false" customHeight="true" outlineLevel="0" collapsed="false">
      <c r="A95" s="5" t="n">
        <v>94</v>
      </c>
      <c r="B95" s="6" t="s">
        <v>1178</v>
      </c>
      <c r="C95" s="5"/>
      <c r="D95" s="5" t="s">
        <v>1179</v>
      </c>
      <c r="E95" s="5" t="s">
        <v>780</v>
      </c>
      <c r="F95" s="5" t="s">
        <v>471</v>
      </c>
      <c r="G95" s="5" t="s">
        <v>1005</v>
      </c>
      <c r="H95" s="10" t="s">
        <v>56</v>
      </c>
      <c r="I95" s="5" t="s">
        <v>1317</v>
      </c>
      <c r="J95" s="5" t="s">
        <v>1316</v>
      </c>
      <c r="K95" s="5"/>
      <c r="L95" s="5" t="s">
        <v>1350</v>
      </c>
      <c r="M95" s="5"/>
      <c r="N95" s="21" t="s">
        <v>1130</v>
      </c>
    </row>
    <row r="96" customFormat="false" ht="15" hidden="false" customHeight="true" outlineLevel="0" collapsed="false">
      <c r="A96" s="5" t="n">
        <v>95</v>
      </c>
      <c r="B96" s="6" t="s">
        <v>683</v>
      </c>
      <c r="C96" s="5" t="s">
        <v>684</v>
      </c>
      <c r="D96" s="5" t="s">
        <v>685</v>
      </c>
      <c r="E96" s="5" t="s">
        <v>395</v>
      </c>
      <c r="F96" s="5" t="s">
        <v>17</v>
      </c>
      <c r="G96" s="5" t="s">
        <v>472</v>
      </c>
      <c r="H96" s="9" t="s">
        <v>35</v>
      </c>
      <c r="I96" s="5" t="s">
        <v>1315</v>
      </c>
      <c r="J96" s="5" t="s">
        <v>1316</v>
      </c>
      <c r="K96" s="5" t="s">
        <v>1388</v>
      </c>
      <c r="L96" s="5"/>
      <c r="M96" s="5"/>
      <c r="N96" s="20" t="s">
        <v>657</v>
      </c>
    </row>
    <row r="97" customFormat="false" ht="15" hidden="false" customHeight="true" outlineLevel="0" collapsed="false">
      <c r="A97" s="5" t="n">
        <v>96</v>
      </c>
      <c r="B97" s="6" t="s">
        <v>686</v>
      </c>
      <c r="C97" s="5" t="s">
        <v>687</v>
      </c>
      <c r="D97" s="5" t="s">
        <v>685</v>
      </c>
      <c r="E97" s="5" t="s">
        <v>201</v>
      </c>
      <c r="F97" s="5" t="s">
        <v>17</v>
      </c>
      <c r="G97" s="5" t="s">
        <v>472</v>
      </c>
      <c r="H97" s="9" t="s">
        <v>35</v>
      </c>
      <c r="I97" s="5" t="s">
        <v>1315</v>
      </c>
      <c r="J97" s="5" t="s">
        <v>1316</v>
      </c>
      <c r="K97" s="5"/>
      <c r="L97" s="5" t="s">
        <v>1389</v>
      </c>
      <c r="M97" s="5"/>
      <c r="N97" s="20" t="s">
        <v>657</v>
      </c>
    </row>
    <row r="98" customFormat="false" ht="15" hidden="false" customHeight="true" outlineLevel="0" collapsed="false">
      <c r="A98" s="5" t="n">
        <v>97</v>
      </c>
      <c r="B98" s="6" t="s">
        <v>1180</v>
      </c>
      <c r="C98" s="5"/>
      <c r="D98" s="5" t="s">
        <v>1181</v>
      </c>
      <c r="E98" s="5" t="s">
        <v>569</v>
      </c>
      <c r="F98" s="5" t="s">
        <v>109</v>
      </c>
      <c r="G98" s="5" t="s">
        <v>1182</v>
      </c>
      <c r="H98" s="10" t="s">
        <v>56</v>
      </c>
      <c r="I98" s="5" t="s">
        <v>1317</v>
      </c>
      <c r="J98" s="5" t="s">
        <v>1316</v>
      </c>
      <c r="K98" s="5"/>
      <c r="L98" s="5" t="s">
        <v>1350</v>
      </c>
      <c r="M98" s="5"/>
      <c r="N98" s="21" t="s">
        <v>1130</v>
      </c>
    </row>
    <row r="99" customFormat="false" ht="23.25" hidden="false" customHeight="true" outlineLevel="0" collapsed="false">
      <c r="A99" s="5" t="n">
        <v>98</v>
      </c>
      <c r="B99" s="6" t="s">
        <v>99</v>
      </c>
      <c r="C99" s="5" t="s">
        <v>100</v>
      </c>
      <c r="D99" s="5" t="s">
        <v>101</v>
      </c>
      <c r="E99" s="5" t="s">
        <v>102</v>
      </c>
      <c r="F99" s="5" t="s">
        <v>103</v>
      </c>
      <c r="G99" s="5" t="s">
        <v>104</v>
      </c>
      <c r="H99" s="8" t="s">
        <v>28</v>
      </c>
      <c r="I99" s="5" t="s">
        <v>1390</v>
      </c>
      <c r="J99" s="5" t="s">
        <v>1316</v>
      </c>
      <c r="K99" s="5"/>
      <c r="L99" s="5"/>
      <c r="M99" s="5"/>
      <c r="N99" s="17" t="s">
        <v>13</v>
      </c>
    </row>
    <row r="100" customFormat="false" ht="23.25" hidden="false" customHeight="true" outlineLevel="0" collapsed="false">
      <c r="A100" s="5" t="n">
        <v>99</v>
      </c>
      <c r="B100" s="6" t="s">
        <v>843</v>
      </c>
      <c r="C100" s="5" t="s">
        <v>844</v>
      </c>
      <c r="D100" s="5" t="s">
        <v>845</v>
      </c>
      <c r="E100" s="5" t="s">
        <v>669</v>
      </c>
      <c r="F100" s="5" t="s">
        <v>109</v>
      </c>
      <c r="G100" s="5" t="s">
        <v>846</v>
      </c>
      <c r="H100" s="8" t="s">
        <v>28</v>
      </c>
      <c r="I100" s="5" t="s">
        <v>1317</v>
      </c>
      <c r="J100" s="5" t="s">
        <v>1316</v>
      </c>
      <c r="K100" s="5" t="s">
        <v>1391</v>
      </c>
      <c r="L100" s="5"/>
      <c r="M100" s="5"/>
      <c r="N100" s="23" t="s">
        <v>810</v>
      </c>
    </row>
    <row r="101" customFormat="false" ht="15" hidden="false" customHeight="true" outlineLevel="0" collapsed="false">
      <c r="A101" s="5" t="n">
        <v>100</v>
      </c>
      <c r="B101" s="6" t="s">
        <v>688</v>
      </c>
      <c r="C101" s="5" t="s">
        <v>689</v>
      </c>
      <c r="D101" s="5" t="s">
        <v>95</v>
      </c>
      <c r="E101" s="5" t="s">
        <v>690</v>
      </c>
      <c r="F101" s="5" t="s">
        <v>97</v>
      </c>
      <c r="G101" s="5" t="s">
        <v>412</v>
      </c>
      <c r="H101" s="10" t="s">
        <v>56</v>
      </c>
      <c r="I101" s="5" t="s">
        <v>1315</v>
      </c>
      <c r="J101" s="5" t="s">
        <v>1316</v>
      </c>
      <c r="K101" s="5"/>
      <c r="L101" s="5"/>
      <c r="M101" s="5"/>
      <c r="N101" s="20" t="s">
        <v>657</v>
      </c>
    </row>
    <row r="102" customFormat="false" ht="15" hidden="false" customHeight="true" outlineLevel="0" collapsed="false">
      <c r="A102" s="5" t="n">
        <v>101</v>
      </c>
      <c r="B102" s="6" t="s">
        <v>691</v>
      </c>
      <c r="C102" s="5" t="s">
        <v>692</v>
      </c>
      <c r="D102" s="5" t="s">
        <v>95</v>
      </c>
      <c r="E102" s="5" t="s">
        <v>693</v>
      </c>
      <c r="F102" s="5" t="s">
        <v>97</v>
      </c>
      <c r="G102" s="5" t="s">
        <v>412</v>
      </c>
      <c r="H102" s="9" t="s">
        <v>35</v>
      </c>
      <c r="I102" s="5" t="s">
        <v>1315</v>
      </c>
      <c r="J102" s="5" t="s">
        <v>1316</v>
      </c>
      <c r="K102" s="5"/>
      <c r="L102" s="5"/>
      <c r="M102" s="5"/>
      <c r="N102" s="20" t="s">
        <v>657</v>
      </c>
    </row>
    <row r="103" customFormat="false" ht="15" hidden="false" customHeight="true" outlineLevel="0" collapsed="false">
      <c r="A103" s="5" t="n">
        <v>102</v>
      </c>
      <c r="B103" s="6" t="s">
        <v>694</v>
      </c>
      <c r="C103" s="5" t="s">
        <v>695</v>
      </c>
      <c r="D103" s="5" t="s">
        <v>95</v>
      </c>
      <c r="E103" s="5" t="s">
        <v>696</v>
      </c>
      <c r="F103" s="5" t="s">
        <v>97</v>
      </c>
      <c r="G103" s="5" t="s">
        <v>412</v>
      </c>
      <c r="H103" s="9" t="s">
        <v>35</v>
      </c>
      <c r="I103" s="5" t="s">
        <v>1315</v>
      </c>
      <c r="J103" s="5" t="s">
        <v>1316</v>
      </c>
      <c r="K103" s="5"/>
      <c r="L103" s="5" t="s">
        <v>1392</v>
      </c>
      <c r="M103" s="5"/>
      <c r="N103" s="20" t="s">
        <v>657</v>
      </c>
    </row>
    <row r="104" customFormat="false" ht="15" hidden="false" customHeight="true" outlineLevel="0" collapsed="false">
      <c r="A104" s="5" t="n">
        <v>103</v>
      </c>
      <c r="B104" s="6" t="s">
        <v>516</v>
      </c>
      <c r="C104" s="5" t="s">
        <v>517</v>
      </c>
      <c r="D104" s="5" t="s">
        <v>518</v>
      </c>
      <c r="E104" s="5" t="s">
        <v>519</v>
      </c>
      <c r="F104" s="5" t="s">
        <v>17</v>
      </c>
      <c r="G104" s="5" t="s">
        <v>520</v>
      </c>
      <c r="H104" s="9" t="s">
        <v>35</v>
      </c>
      <c r="I104" s="5" t="s">
        <v>1315</v>
      </c>
      <c r="J104" s="5" t="s">
        <v>1316</v>
      </c>
      <c r="K104" s="5"/>
      <c r="L104" s="5"/>
      <c r="M104" s="5"/>
      <c r="N104" s="22" t="s">
        <v>462</v>
      </c>
    </row>
    <row r="105" customFormat="false" ht="15" hidden="false" customHeight="true" outlineLevel="0" collapsed="false">
      <c r="A105" s="5" t="n">
        <v>104</v>
      </c>
      <c r="B105" s="6" t="s">
        <v>847</v>
      </c>
      <c r="C105" s="5"/>
      <c r="D105" s="5" t="s">
        <v>707</v>
      </c>
      <c r="E105" s="5" t="s">
        <v>201</v>
      </c>
      <c r="F105" s="5" t="s">
        <v>578</v>
      </c>
      <c r="G105" s="5" t="s">
        <v>708</v>
      </c>
      <c r="H105" s="7" t="s">
        <v>19</v>
      </c>
      <c r="I105" s="5" t="s">
        <v>1317</v>
      </c>
      <c r="J105" s="5" t="s">
        <v>1316</v>
      </c>
      <c r="K105" s="5"/>
      <c r="L105" s="5"/>
      <c r="M105" s="5"/>
      <c r="N105" s="23" t="s">
        <v>810</v>
      </c>
    </row>
    <row r="106" customFormat="false" ht="15" hidden="false" customHeight="true" outlineLevel="0" collapsed="false">
      <c r="A106" s="5" t="n">
        <v>105</v>
      </c>
      <c r="B106" s="6" t="s">
        <v>521</v>
      </c>
      <c r="C106" s="5" t="s">
        <v>522</v>
      </c>
      <c r="D106" s="5" t="s">
        <v>523</v>
      </c>
      <c r="E106" s="5" t="s">
        <v>486</v>
      </c>
      <c r="F106" s="5" t="s">
        <v>17</v>
      </c>
      <c r="G106" s="5" t="s">
        <v>146</v>
      </c>
      <c r="H106" s="9" t="s">
        <v>35</v>
      </c>
      <c r="I106" s="5" t="s">
        <v>1317</v>
      </c>
      <c r="J106" s="5" t="s">
        <v>1316</v>
      </c>
      <c r="K106" s="5" t="s">
        <v>1393</v>
      </c>
      <c r="L106" s="5" t="s">
        <v>1394</v>
      </c>
      <c r="M106" s="5"/>
      <c r="N106" s="22" t="s">
        <v>462</v>
      </c>
    </row>
    <row r="107" customFormat="false" ht="15" hidden="false" customHeight="true" outlineLevel="0" collapsed="false">
      <c r="A107" s="5" t="n">
        <v>106</v>
      </c>
      <c r="B107" s="6" t="s">
        <v>1184</v>
      </c>
      <c r="C107" s="5" t="s">
        <v>1185</v>
      </c>
      <c r="D107" s="5" t="s">
        <v>1186</v>
      </c>
      <c r="E107" s="5" t="s">
        <v>352</v>
      </c>
      <c r="F107" s="5" t="s">
        <v>471</v>
      </c>
      <c r="G107" s="5" t="s">
        <v>1187</v>
      </c>
      <c r="H107" s="7" t="s">
        <v>19</v>
      </c>
      <c r="I107" s="5" t="s">
        <v>1317</v>
      </c>
      <c r="J107" s="5" t="s">
        <v>1316</v>
      </c>
      <c r="K107" s="5"/>
      <c r="L107" s="5"/>
      <c r="M107" s="5"/>
      <c r="N107" s="21" t="s">
        <v>1130</v>
      </c>
    </row>
    <row r="108" customFormat="false" ht="15" hidden="false" customHeight="true" outlineLevel="0" collapsed="false">
      <c r="A108" s="5" t="n">
        <v>107</v>
      </c>
      <c r="B108" s="6" t="s">
        <v>1025</v>
      </c>
      <c r="C108" s="5"/>
      <c r="D108" s="5" t="s">
        <v>1026</v>
      </c>
      <c r="E108" s="5" t="s">
        <v>357</v>
      </c>
      <c r="F108" s="5" t="s">
        <v>17</v>
      </c>
      <c r="G108" s="5" t="s">
        <v>190</v>
      </c>
      <c r="H108" s="9" t="s">
        <v>35</v>
      </c>
      <c r="I108" s="5" t="s">
        <v>1395</v>
      </c>
      <c r="J108" s="5" t="s">
        <v>1316</v>
      </c>
      <c r="K108" s="5"/>
      <c r="L108" s="5"/>
      <c r="M108" s="5"/>
      <c r="N108" s="18" t="s">
        <v>980</v>
      </c>
    </row>
    <row r="109" customFormat="false" ht="15" hidden="false" customHeight="true" outlineLevel="0" collapsed="false">
      <c r="A109" s="5" t="n">
        <v>108</v>
      </c>
      <c r="B109" s="6" t="s">
        <v>697</v>
      </c>
      <c r="C109" s="5"/>
      <c r="D109" s="5" t="s">
        <v>698</v>
      </c>
      <c r="E109" s="5" t="s">
        <v>357</v>
      </c>
      <c r="F109" s="5" t="s">
        <v>578</v>
      </c>
      <c r="G109" s="5" t="s">
        <v>578</v>
      </c>
      <c r="H109" s="8" t="s">
        <v>28</v>
      </c>
      <c r="I109" s="5" t="s">
        <v>1317</v>
      </c>
      <c r="J109" s="5" t="s">
        <v>1316</v>
      </c>
      <c r="K109" s="5"/>
      <c r="L109" s="5"/>
      <c r="M109" s="5"/>
      <c r="N109" s="20" t="s">
        <v>657</v>
      </c>
    </row>
    <row r="110" customFormat="false" ht="15" hidden="false" customHeight="true" outlineLevel="0" collapsed="false">
      <c r="A110" s="5" t="n">
        <v>109</v>
      </c>
      <c r="B110" s="6" t="s">
        <v>524</v>
      </c>
      <c r="C110" s="5" t="s">
        <v>525</v>
      </c>
      <c r="D110" s="5" t="s">
        <v>526</v>
      </c>
      <c r="E110" s="5" t="s">
        <v>527</v>
      </c>
      <c r="F110" s="5" t="s">
        <v>195</v>
      </c>
      <c r="G110" s="5" t="s">
        <v>528</v>
      </c>
      <c r="H110" s="9" t="s">
        <v>35</v>
      </c>
      <c r="I110" s="5" t="s">
        <v>1317</v>
      </c>
      <c r="J110" s="5" t="s">
        <v>1316</v>
      </c>
      <c r="K110" s="5"/>
      <c r="L110" s="5" t="s">
        <v>1396</v>
      </c>
      <c r="M110" s="5"/>
      <c r="N110" s="22" t="s">
        <v>462</v>
      </c>
    </row>
    <row r="111" customFormat="false" ht="15" hidden="false" customHeight="true" outlineLevel="0" collapsed="false">
      <c r="A111" s="5" t="n">
        <v>110</v>
      </c>
      <c r="B111" s="6" t="s">
        <v>1027</v>
      </c>
      <c r="C111" s="5"/>
      <c r="D111" s="5" t="s">
        <v>1028</v>
      </c>
      <c r="E111" s="5" t="s">
        <v>50</v>
      </c>
      <c r="F111" s="5" t="s">
        <v>139</v>
      </c>
      <c r="G111" s="5" t="s">
        <v>1029</v>
      </c>
      <c r="H111" s="8" t="s">
        <v>28</v>
      </c>
      <c r="I111" s="5" t="s">
        <v>1317</v>
      </c>
      <c r="J111" s="5" t="s">
        <v>1316</v>
      </c>
      <c r="K111" s="5"/>
      <c r="L111" s="5"/>
      <c r="M111" s="5"/>
      <c r="N111" s="18" t="s">
        <v>980</v>
      </c>
    </row>
    <row r="112" customFormat="false" ht="23.25" hidden="false" customHeight="true" outlineLevel="0" collapsed="false">
      <c r="A112" s="5" t="n">
        <v>111</v>
      </c>
      <c r="B112" s="6" t="s">
        <v>105</v>
      </c>
      <c r="C112" s="5" t="s">
        <v>106</v>
      </c>
      <c r="D112" s="5" t="s">
        <v>107</v>
      </c>
      <c r="E112" s="5" t="s">
        <v>108</v>
      </c>
      <c r="F112" s="5" t="s">
        <v>109</v>
      </c>
      <c r="G112" s="5" t="s">
        <v>110</v>
      </c>
      <c r="H112" s="9" t="s">
        <v>35</v>
      </c>
      <c r="I112" s="5" t="s">
        <v>1317</v>
      </c>
      <c r="J112" s="5" t="s">
        <v>1316</v>
      </c>
      <c r="K112" s="5"/>
      <c r="L112" s="5" t="s">
        <v>1397</v>
      </c>
      <c r="M112" s="5"/>
      <c r="N112" s="17" t="s">
        <v>13</v>
      </c>
    </row>
    <row r="113" customFormat="false" ht="15" hidden="false" customHeight="true" outlineLevel="0" collapsed="false">
      <c r="A113" s="5" t="n">
        <v>112</v>
      </c>
      <c r="B113" s="6" t="s">
        <v>1030</v>
      </c>
      <c r="C113" s="5" t="s">
        <v>1031</v>
      </c>
      <c r="D113" s="5" t="s">
        <v>193</v>
      </c>
      <c r="E113" s="5" t="s">
        <v>1032</v>
      </c>
      <c r="F113" s="5" t="s">
        <v>195</v>
      </c>
      <c r="G113" s="5" t="s">
        <v>196</v>
      </c>
      <c r="H113" s="7" t="s">
        <v>19</v>
      </c>
      <c r="I113" s="5" t="s">
        <v>1398</v>
      </c>
      <c r="J113" s="5" t="s">
        <v>1399</v>
      </c>
      <c r="K113" s="5"/>
      <c r="L113" s="5" t="s">
        <v>1400</v>
      </c>
      <c r="M113" s="5"/>
      <c r="N113" s="18" t="s">
        <v>980</v>
      </c>
    </row>
    <row r="114" customFormat="false" ht="15" hidden="false" customHeight="true" outlineLevel="0" collapsed="false">
      <c r="A114" s="5" t="n">
        <v>113</v>
      </c>
      <c r="B114" s="6" t="s">
        <v>848</v>
      </c>
      <c r="C114" s="5" t="s">
        <v>849</v>
      </c>
      <c r="D114" s="5" t="s">
        <v>850</v>
      </c>
      <c r="E114" s="5" t="s">
        <v>780</v>
      </c>
      <c r="F114" s="5" t="s">
        <v>97</v>
      </c>
      <c r="G114" s="5" t="s">
        <v>851</v>
      </c>
      <c r="H114" s="8" t="s">
        <v>28</v>
      </c>
      <c r="I114" s="5" t="s">
        <v>1317</v>
      </c>
      <c r="J114" s="5" t="s">
        <v>1316</v>
      </c>
      <c r="K114" s="5"/>
      <c r="L114" s="5" t="s">
        <v>1401</v>
      </c>
      <c r="M114" s="5"/>
      <c r="N114" s="23" t="s">
        <v>810</v>
      </c>
    </row>
    <row r="115" customFormat="false" ht="15" hidden="false" customHeight="true" outlineLevel="0" collapsed="false">
      <c r="A115" s="5" t="n">
        <v>114</v>
      </c>
      <c r="B115" s="6" t="s">
        <v>529</v>
      </c>
      <c r="C115" s="5" t="s">
        <v>530</v>
      </c>
      <c r="D115" s="5" t="s">
        <v>531</v>
      </c>
      <c r="E115" s="5" t="s">
        <v>532</v>
      </c>
      <c r="F115" s="5" t="s">
        <v>17</v>
      </c>
      <c r="G115" s="5" t="s">
        <v>146</v>
      </c>
      <c r="H115" s="9" t="s">
        <v>35</v>
      </c>
      <c r="I115" s="5" t="s">
        <v>1317</v>
      </c>
      <c r="J115" s="5" t="s">
        <v>1316</v>
      </c>
      <c r="K115" s="5" t="s">
        <v>1402</v>
      </c>
      <c r="L115" s="5" t="s">
        <v>1403</v>
      </c>
      <c r="M115" s="5"/>
      <c r="N115" s="22" t="s">
        <v>462</v>
      </c>
    </row>
    <row r="116" customFormat="false" ht="15" hidden="false" customHeight="true" outlineLevel="0" collapsed="false">
      <c r="A116" s="5" t="n">
        <v>115</v>
      </c>
      <c r="B116" s="6" t="s">
        <v>1189</v>
      </c>
      <c r="C116" s="5"/>
      <c r="D116" s="5" t="s">
        <v>1190</v>
      </c>
      <c r="E116" s="5" t="s">
        <v>295</v>
      </c>
      <c r="F116" s="5" t="s">
        <v>109</v>
      </c>
      <c r="G116" s="5" t="s">
        <v>1191</v>
      </c>
      <c r="H116" s="10" t="s">
        <v>56</v>
      </c>
      <c r="I116" s="5" t="s">
        <v>1317</v>
      </c>
      <c r="J116" s="5" t="s">
        <v>1316</v>
      </c>
      <c r="K116" s="5" t="s">
        <v>1404</v>
      </c>
      <c r="L116" s="5"/>
      <c r="M116" s="5"/>
      <c r="N116" s="21" t="s">
        <v>1130</v>
      </c>
    </row>
    <row r="117" customFormat="false" ht="15" hidden="false" customHeight="true" outlineLevel="0" collapsed="false">
      <c r="A117" s="5" t="n">
        <v>116</v>
      </c>
      <c r="B117" s="6" t="s">
        <v>111</v>
      </c>
      <c r="C117" s="5"/>
      <c r="D117" s="5" t="s">
        <v>112</v>
      </c>
      <c r="E117" s="5" t="s">
        <v>113</v>
      </c>
      <c r="F117" s="5" t="s">
        <v>17</v>
      </c>
      <c r="G117" s="5" t="s">
        <v>114</v>
      </c>
      <c r="H117" s="9" t="s">
        <v>35</v>
      </c>
      <c r="I117" s="5" t="s">
        <v>1315</v>
      </c>
      <c r="J117" s="5" t="s">
        <v>1316</v>
      </c>
      <c r="K117" s="5"/>
      <c r="L117" s="5"/>
      <c r="M117" s="5"/>
      <c r="N117" s="17" t="s">
        <v>13</v>
      </c>
    </row>
    <row r="118" customFormat="false" ht="15" hidden="false" customHeight="true" outlineLevel="0" collapsed="false">
      <c r="A118" s="5" t="n">
        <v>117</v>
      </c>
      <c r="B118" s="6" t="s">
        <v>533</v>
      </c>
      <c r="C118" s="5" t="s">
        <v>534</v>
      </c>
      <c r="D118" s="5" t="s">
        <v>95</v>
      </c>
      <c r="E118" s="5" t="s">
        <v>535</v>
      </c>
      <c r="F118" s="5" t="s">
        <v>97</v>
      </c>
      <c r="G118" s="5" t="s">
        <v>98</v>
      </c>
      <c r="H118" s="10" t="s">
        <v>56</v>
      </c>
      <c r="I118" s="5" t="s">
        <v>1315</v>
      </c>
      <c r="J118" s="5" t="s">
        <v>1316</v>
      </c>
      <c r="K118" s="5"/>
      <c r="L118" s="5" t="s">
        <v>1405</v>
      </c>
      <c r="M118" s="5"/>
      <c r="N118" s="22" t="s">
        <v>462</v>
      </c>
    </row>
    <row r="119" customFormat="false" ht="15" hidden="false" customHeight="true" outlineLevel="0" collapsed="false">
      <c r="A119" s="5" t="n">
        <v>118</v>
      </c>
      <c r="B119" s="6" t="s">
        <v>1034</v>
      </c>
      <c r="C119" s="5"/>
      <c r="D119" s="5" t="s">
        <v>1035</v>
      </c>
      <c r="E119" s="5" t="s">
        <v>304</v>
      </c>
      <c r="F119" s="5" t="s">
        <v>17</v>
      </c>
      <c r="G119" s="5" t="s">
        <v>1036</v>
      </c>
      <c r="H119" s="10" t="s">
        <v>56</v>
      </c>
      <c r="I119" s="5" t="s">
        <v>1317</v>
      </c>
      <c r="J119" s="5" t="s">
        <v>1316</v>
      </c>
      <c r="K119" s="5"/>
      <c r="L119" s="5"/>
      <c r="M119" s="5"/>
      <c r="N119" s="18" t="s">
        <v>980</v>
      </c>
    </row>
    <row r="120" customFormat="false" ht="15" hidden="false" customHeight="true" outlineLevel="0" collapsed="false">
      <c r="A120" s="5" t="n">
        <v>119</v>
      </c>
      <c r="B120" s="6" t="s">
        <v>699</v>
      </c>
      <c r="C120" s="5" t="s">
        <v>700</v>
      </c>
      <c r="D120" s="5" t="s">
        <v>701</v>
      </c>
      <c r="E120" s="5" t="s">
        <v>395</v>
      </c>
      <c r="F120" s="5" t="s">
        <v>139</v>
      </c>
      <c r="G120" s="5" t="s">
        <v>702</v>
      </c>
      <c r="H120" s="8" t="s">
        <v>28</v>
      </c>
      <c r="I120" s="5" t="s">
        <v>1317</v>
      </c>
      <c r="J120" s="5" t="s">
        <v>1316</v>
      </c>
      <c r="K120" s="5"/>
      <c r="L120" s="5"/>
      <c r="M120" s="5"/>
      <c r="N120" s="20" t="s">
        <v>657</v>
      </c>
    </row>
    <row r="121" customFormat="false" ht="15" hidden="false" customHeight="true" outlineLevel="0" collapsed="false">
      <c r="A121" s="5" t="n">
        <v>120</v>
      </c>
      <c r="B121" s="6" t="s">
        <v>536</v>
      </c>
      <c r="C121" s="5" t="s">
        <v>537</v>
      </c>
      <c r="D121" s="5" t="s">
        <v>538</v>
      </c>
      <c r="E121" s="5" t="s">
        <v>539</v>
      </c>
      <c r="F121" s="5" t="s">
        <v>195</v>
      </c>
      <c r="G121" s="5" t="s">
        <v>195</v>
      </c>
      <c r="H121" s="10" t="s">
        <v>56</v>
      </c>
      <c r="I121" s="5" t="s">
        <v>1317</v>
      </c>
      <c r="J121" s="5" t="s">
        <v>1316</v>
      </c>
      <c r="K121" s="5"/>
      <c r="L121" s="5"/>
      <c r="M121" s="5"/>
      <c r="N121" s="22" t="s">
        <v>462</v>
      </c>
    </row>
    <row r="122" customFormat="false" ht="15" hidden="false" customHeight="true" outlineLevel="0" collapsed="false">
      <c r="A122" s="5" t="n">
        <v>121</v>
      </c>
      <c r="B122" s="6" t="s">
        <v>540</v>
      </c>
      <c r="C122" s="5" t="s">
        <v>541</v>
      </c>
      <c r="D122" s="5" t="s">
        <v>542</v>
      </c>
      <c r="E122" s="5" t="s">
        <v>543</v>
      </c>
      <c r="F122" s="5" t="s">
        <v>17</v>
      </c>
      <c r="G122" s="5" t="s">
        <v>490</v>
      </c>
      <c r="H122" s="7" t="s">
        <v>19</v>
      </c>
      <c r="I122" s="5" t="s">
        <v>1317</v>
      </c>
      <c r="J122" s="5" t="s">
        <v>1316</v>
      </c>
      <c r="K122" s="5"/>
      <c r="L122" s="5" t="s">
        <v>1406</v>
      </c>
      <c r="M122" s="5"/>
      <c r="N122" s="22" t="s">
        <v>462</v>
      </c>
    </row>
    <row r="123" customFormat="false" ht="15" hidden="false" customHeight="true" outlineLevel="0" collapsed="false">
      <c r="A123" s="5" t="n">
        <v>122</v>
      </c>
      <c r="B123" s="6" t="s">
        <v>544</v>
      </c>
      <c r="C123" s="5" t="s">
        <v>545</v>
      </c>
      <c r="D123" s="5" t="s">
        <v>546</v>
      </c>
      <c r="E123" s="5" t="s">
        <v>32</v>
      </c>
      <c r="F123" s="5" t="s">
        <v>547</v>
      </c>
      <c r="G123" s="5" t="s">
        <v>548</v>
      </c>
      <c r="H123" s="7" t="s">
        <v>19</v>
      </c>
      <c r="I123" s="5" t="s">
        <v>1407</v>
      </c>
      <c r="J123" s="5" t="s">
        <v>1408</v>
      </c>
      <c r="K123" s="5"/>
      <c r="L123" s="5" t="s">
        <v>1409</v>
      </c>
      <c r="M123" s="5"/>
      <c r="N123" s="22" t="s">
        <v>462</v>
      </c>
    </row>
    <row r="124" customFormat="false" ht="15" hidden="false" customHeight="true" outlineLevel="0" collapsed="false">
      <c r="A124" s="5" t="n">
        <v>123</v>
      </c>
      <c r="B124" s="6" t="s">
        <v>1193</v>
      </c>
      <c r="C124" s="5"/>
      <c r="D124" s="5" t="s">
        <v>1194</v>
      </c>
      <c r="E124" s="5" t="s">
        <v>357</v>
      </c>
      <c r="F124" s="5" t="s">
        <v>109</v>
      </c>
      <c r="G124" s="5" t="s">
        <v>1195</v>
      </c>
      <c r="H124" s="9" t="s">
        <v>35</v>
      </c>
      <c r="I124" s="5" t="s">
        <v>1317</v>
      </c>
      <c r="J124" s="5" t="s">
        <v>1316</v>
      </c>
      <c r="K124" s="5"/>
      <c r="L124" s="5"/>
      <c r="M124" s="5"/>
      <c r="N124" s="21" t="s">
        <v>1130</v>
      </c>
    </row>
    <row r="125" customFormat="false" ht="15" hidden="false" customHeight="true" outlineLevel="0" collapsed="false">
      <c r="A125" s="5" t="n">
        <v>124</v>
      </c>
      <c r="B125" s="6" t="s">
        <v>337</v>
      </c>
      <c r="C125" s="5" t="s">
        <v>338</v>
      </c>
      <c r="D125" s="5" t="s">
        <v>339</v>
      </c>
      <c r="E125" s="5" t="s">
        <v>304</v>
      </c>
      <c r="F125" s="5" t="s">
        <v>17</v>
      </c>
      <c r="G125" s="5" t="s">
        <v>340</v>
      </c>
      <c r="H125" s="8" t="s">
        <v>28</v>
      </c>
      <c r="I125" s="5" t="s">
        <v>1410</v>
      </c>
      <c r="J125" s="5" t="s">
        <v>1316</v>
      </c>
      <c r="K125" s="5" t="s">
        <v>1411</v>
      </c>
      <c r="L125" s="5"/>
      <c r="M125" s="5"/>
      <c r="N125" s="19" t="s">
        <v>258</v>
      </c>
    </row>
    <row r="126" customFormat="false" ht="15" hidden="false" customHeight="true" outlineLevel="0" collapsed="false">
      <c r="A126" s="5" t="n">
        <v>125</v>
      </c>
      <c r="B126" s="6" t="s">
        <v>703</v>
      </c>
      <c r="C126" s="5" t="s">
        <v>704</v>
      </c>
      <c r="D126" s="5" t="s">
        <v>91</v>
      </c>
      <c r="E126" s="5" t="s">
        <v>124</v>
      </c>
      <c r="F126" s="5" t="s">
        <v>17</v>
      </c>
      <c r="G126" s="5" t="s">
        <v>639</v>
      </c>
      <c r="H126" s="8" t="s">
        <v>28</v>
      </c>
      <c r="I126" s="5" t="s">
        <v>1315</v>
      </c>
      <c r="J126" s="5" t="s">
        <v>1316</v>
      </c>
      <c r="K126" s="5"/>
      <c r="L126" s="5"/>
      <c r="M126" s="5"/>
      <c r="N126" s="20" t="s">
        <v>657</v>
      </c>
    </row>
    <row r="127" customFormat="false" ht="15" hidden="false" customHeight="true" outlineLevel="0" collapsed="false">
      <c r="A127" s="5" t="n">
        <v>126</v>
      </c>
      <c r="B127" s="6" t="s">
        <v>341</v>
      </c>
      <c r="C127" s="5" t="s">
        <v>342</v>
      </c>
      <c r="D127" s="5" t="s">
        <v>343</v>
      </c>
      <c r="E127" s="5" t="s">
        <v>344</v>
      </c>
      <c r="F127" s="5" t="s">
        <v>17</v>
      </c>
      <c r="G127" s="5" t="s">
        <v>190</v>
      </c>
      <c r="H127" s="7" t="s">
        <v>19</v>
      </c>
      <c r="I127" s="5" t="s">
        <v>1317</v>
      </c>
      <c r="J127" s="5" t="s">
        <v>1316</v>
      </c>
      <c r="K127" s="5"/>
      <c r="L127" s="5" t="s">
        <v>1412</v>
      </c>
      <c r="M127" s="5"/>
      <c r="N127" s="19" t="s">
        <v>258</v>
      </c>
    </row>
    <row r="128" customFormat="false" ht="15" hidden="false" customHeight="true" outlineLevel="0" collapsed="false">
      <c r="A128" s="5" t="n">
        <v>127</v>
      </c>
      <c r="B128" s="6" t="s">
        <v>1197</v>
      </c>
      <c r="C128" s="5" t="s">
        <v>1198</v>
      </c>
      <c r="D128" s="5" t="s">
        <v>1190</v>
      </c>
      <c r="E128" s="5" t="s">
        <v>357</v>
      </c>
      <c r="F128" s="5" t="s">
        <v>139</v>
      </c>
      <c r="G128" s="5" t="s">
        <v>1199</v>
      </c>
      <c r="H128" s="10" t="s">
        <v>56</v>
      </c>
      <c r="I128" s="5" t="s">
        <v>1317</v>
      </c>
      <c r="J128" s="5" t="s">
        <v>1316</v>
      </c>
      <c r="K128" s="5"/>
      <c r="L128" s="5"/>
      <c r="M128" s="5"/>
      <c r="N128" s="21" t="s">
        <v>1130</v>
      </c>
    </row>
    <row r="129" customFormat="false" ht="15" hidden="false" customHeight="true" outlineLevel="0" collapsed="false">
      <c r="A129" s="5" t="n">
        <v>128</v>
      </c>
      <c r="B129" s="6" t="s">
        <v>115</v>
      </c>
      <c r="C129" s="5" t="s">
        <v>116</v>
      </c>
      <c r="D129" s="5" t="s">
        <v>117</v>
      </c>
      <c r="E129" s="5" t="s">
        <v>118</v>
      </c>
      <c r="F129" s="5" t="s">
        <v>17</v>
      </c>
      <c r="G129" s="5" t="s">
        <v>119</v>
      </c>
      <c r="H129" s="8" t="s">
        <v>28</v>
      </c>
      <c r="I129" s="5" t="s">
        <v>1315</v>
      </c>
      <c r="J129" s="5" t="s">
        <v>1316</v>
      </c>
      <c r="K129" s="5"/>
      <c r="L129" s="5"/>
      <c r="M129" s="5"/>
      <c r="N129" s="17" t="s">
        <v>13</v>
      </c>
    </row>
    <row r="130" customFormat="false" ht="15" hidden="false" customHeight="true" outlineLevel="0" collapsed="false">
      <c r="A130" s="5" t="n">
        <v>129</v>
      </c>
      <c r="B130" s="6" t="s">
        <v>120</v>
      </c>
      <c r="C130" s="5"/>
      <c r="D130" s="5" t="s">
        <v>95</v>
      </c>
      <c r="E130" s="5" t="s">
        <v>121</v>
      </c>
      <c r="F130" s="5" t="s">
        <v>97</v>
      </c>
      <c r="G130" s="5" t="s">
        <v>98</v>
      </c>
      <c r="H130" s="7" t="s">
        <v>19</v>
      </c>
      <c r="I130" s="5" t="s">
        <v>1315</v>
      </c>
      <c r="J130" s="5" t="s">
        <v>1316</v>
      </c>
      <c r="K130" s="5"/>
      <c r="L130" s="5"/>
      <c r="M130" s="5"/>
      <c r="N130" s="17" t="s">
        <v>13</v>
      </c>
    </row>
    <row r="131" customFormat="false" ht="15" hidden="false" customHeight="true" outlineLevel="0" collapsed="false">
      <c r="A131" s="5" t="n">
        <v>130</v>
      </c>
      <c r="B131" s="6" t="s">
        <v>122</v>
      </c>
      <c r="C131" s="5"/>
      <c r="D131" s="5" t="s">
        <v>123</v>
      </c>
      <c r="E131" s="5" t="s">
        <v>124</v>
      </c>
      <c r="F131" s="5" t="s">
        <v>17</v>
      </c>
      <c r="G131" s="5" t="s">
        <v>125</v>
      </c>
      <c r="H131" s="9" t="s">
        <v>35</v>
      </c>
      <c r="I131" s="5" t="s">
        <v>1348</v>
      </c>
      <c r="J131" s="5" t="s">
        <v>1338</v>
      </c>
      <c r="K131" s="5"/>
      <c r="L131" s="5"/>
      <c r="M131" s="5"/>
      <c r="N131" s="17" t="s">
        <v>13</v>
      </c>
    </row>
    <row r="132" customFormat="false" ht="15" hidden="false" customHeight="true" outlineLevel="0" collapsed="false">
      <c r="A132" s="5" t="n">
        <v>131</v>
      </c>
      <c r="B132" s="6" t="s">
        <v>1037</v>
      </c>
      <c r="C132" s="5"/>
      <c r="D132" s="5" t="s">
        <v>1038</v>
      </c>
      <c r="E132" s="5" t="s">
        <v>669</v>
      </c>
      <c r="F132" s="5" t="s">
        <v>17</v>
      </c>
      <c r="G132" s="5" t="s">
        <v>1039</v>
      </c>
      <c r="H132" s="8" t="s">
        <v>28</v>
      </c>
      <c r="I132" s="5" t="s">
        <v>1317</v>
      </c>
      <c r="J132" s="5" t="s">
        <v>1316</v>
      </c>
      <c r="K132" s="5"/>
      <c r="L132" s="5"/>
      <c r="M132" s="5"/>
      <c r="N132" s="18" t="s">
        <v>980</v>
      </c>
    </row>
    <row r="133" customFormat="false" ht="15" hidden="false" customHeight="true" outlineLevel="0" collapsed="false">
      <c r="A133" s="5" t="n">
        <v>132</v>
      </c>
      <c r="B133" s="6" t="s">
        <v>705</v>
      </c>
      <c r="C133" s="5" t="s">
        <v>706</v>
      </c>
      <c r="D133" s="5" t="s">
        <v>707</v>
      </c>
      <c r="E133" s="5" t="s">
        <v>395</v>
      </c>
      <c r="F133" s="5" t="s">
        <v>33</v>
      </c>
      <c r="G133" s="5" t="s">
        <v>708</v>
      </c>
      <c r="H133" s="10" t="s">
        <v>56</v>
      </c>
      <c r="I133" s="5" t="s">
        <v>1317</v>
      </c>
      <c r="J133" s="5" t="s">
        <v>1316</v>
      </c>
      <c r="K133" s="5"/>
      <c r="L133" s="5"/>
      <c r="M133" s="5"/>
      <c r="N133" s="20" t="s">
        <v>657</v>
      </c>
    </row>
    <row r="134" customFormat="false" ht="15" hidden="false" customHeight="true" outlineLevel="0" collapsed="false">
      <c r="A134" s="5" t="n">
        <v>133</v>
      </c>
      <c r="B134" s="6" t="s">
        <v>549</v>
      </c>
      <c r="C134" s="5" t="s">
        <v>550</v>
      </c>
      <c r="D134" s="5" t="s">
        <v>432</v>
      </c>
      <c r="E134" s="5" t="s">
        <v>138</v>
      </c>
      <c r="F134" s="5" t="s">
        <v>139</v>
      </c>
      <c r="G134" s="5" t="s">
        <v>139</v>
      </c>
      <c r="H134" s="8" t="s">
        <v>28</v>
      </c>
      <c r="I134" s="5" t="s">
        <v>1348</v>
      </c>
      <c r="J134" s="5" t="s">
        <v>1338</v>
      </c>
      <c r="K134" s="5"/>
      <c r="L134" s="5"/>
      <c r="M134" s="5"/>
      <c r="N134" s="22" t="s">
        <v>462</v>
      </c>
    </row>
    <row r="135" customFormat="false" ht="15" hidden="false" customHeight="true" outlineLevel="0" collapsed="false">
      <c r="A135" s="5" t="n">
        <v>134</v>
      </c>
      <c r="B135" s="6" t="s">
        <v>1200</v>
      </c>
      <c r="C135" s="5"/>
      <c r="D135" s="5" t="s">
        <v>1201</v>
      </c>
      <c r="E135" s="5" t="s">
        <v>1202</v>
      </c>
      <c r="F135" s="5" t="s">
        <v>139</v>
      </c>
      <c r="G135" s="5" t="s">
        <v>1203</v>
      </c>
      <c r="H135" s="9" t="s">
        <v>35</v>
      </c>
      <c r="I135" s="5" t="s">
        <v>1317</v>
      </c>
      <c r="J135" s="5" t="s">
        <v>1316</v>
      </c>
      <c r="K135" s="5"/>
      <c r="L135" s="5" t="s">
        <v>1413</v>
      </c>
      <c r="M135" s="5"/>
      <c r="N135" s="21" t="s">
        <v>1130</v>
      </c>
    </row>
    <row r="136" customFormat="false" ht="15" hidden="false" customHeight="true" outlineLevel="0" collapsed="false">
      <c r="A136" s="5" t="n">
        <v>135</v>
      </c>
      <c r="B136" s="6" t="s">
        <v>1040</v>
      </c>
      <c r="C136" s="5"/>
      <c r="D136" s="5" t="s">
        <v>1041</v>
      </c>
      <c r="E136" s="5" t="s">
        <v>16</v>
      </c>
      <c r="F136" s="5" t="s">
        <v>33</v>
      </c>
      <c r="G136" s="5" t="s">
        <v>1042</v>
      </c>
      <c r="H136" s="9" t="s">
        <v>35</v>
      </c>
      <c r="I136" s="5" t="s">
        <v>1317</v>
      </c>
      <c r="J136" s="5" t="s">
        <v>1316</v>
      </c>
      <c r="K136" s="5"/>
      <c r="L136" s="5" t="s">
        <v>1414</v>
      </c>
      <c r="M136" s="5"/>
      <c r="N136" s="18" t="s">
        <v>980</v>
      </c>
    </row>
    <row r="137" customFormat="false" ht="15" hidden="false" customHeight="true" outlineLevel="0" collapsed="false">
      <c r="A137" s="5" t="n">
        <v>136</v>
      </c>
      <c r="B137" s="6" t="s">
        <v>345</v>
      </c>
      <c r="C137" s="5"/>
      <c r="D137" s="5" t="s">
        <v>346</v>
      </c>
      <c r="E137" s="5" t="s">
        <v>347</v>
      </c>
      <c r="F137" s="5" t="s">
        <v>17</v>
      </c>
      <c r="G137" s="5" t="s">
        <v>348</v>
      </c>
      <c r="H137" s="8" t="s">
        <v>28</v>
      </c>
      <c r="I137" s="5" t="s">
        <v>1317</v>
      </c>
      <c r="J137" s="5" t="s">
        <v>1316</v>
      </c>
      <c r="K137" s="5" t="s">
        <v>1415</v>
      </c>
      <c r="L137" s="5"/>
      <c r="M137" s="5"/>
      <c r="N137" s="19" t="s">
        <v>258</v>
      </c>
    </row>
    <row r="138" customFormat="false" ht="15" hidden="false" customHeight="true" outlineLevel="0" collapsed="false">
      <c r="A138" s="5" t="n">
        <v>137</v>
      </c>
      <c r="B138" s="6" t="s">
        <v>126</v>
      </c>
      <c r="C138" s="5" t="s">
        <v>127</v>
      </c>
      <c r="D138" s="5" t="s">
        <v>128</v>
      </c>
      <c r="E138" s="5" t="s">
        <v>129</v>
      </c>
      <c r="F138" s="5" t="s">
        <v>17</v>
      </c>
      <c r="G138" s="5" t="s">
        <v>130</v>
      </c>
      <c r="H138" s="7" t="s">
        <v>19</v>
      </c>
      <c r="I138" s="5" t="s">
        <v>1317</v>
      </c>
      <c r="J138" s="5" t="s">
        <v>1316</v>
      </c>
      <c r="K138" s="5"/>
      <c r="L138" s="5" t="s">
        <v>1416</v>
      </c>
      <c r="M138" s="5"/>
      <c r="N138" s="17" t="s">
        <v>13</v>
      </c>
    </row>
    <row r="139" customFormat="false" ht="15" hidden="false" customHeight="true" outlineLevel="0" collapsed="false">
      <c r="A139" s="5" t="n">
        <v>138</v>
      </c>
      <c r="B139" s="6" t="s">
        <v>1205</v>
      </c>
      <c r="C139" s="5"/>
      <c r="D139" s="5" t="s">
        <v>1206</v>
      </c>
      <c r="E139" s="5" t="s">
        <v>602</v>
      </c>
      <c r="F139" s="5" t="s">
        <v>885</v>
      </c>
      <c r="G139" s="5" t="s">
        <v>885</v>
      </c>
      <c r="H139" s="9" t="s">
        <v>35</v>
      </c>
      <c r="I139" s="5" t="s">
        <v>1317</v>
      </c>
      <c r="J139" s="5" t="s">
        <v>1316</v>
      </c>
      <c r="K139" s="5"/>
      <c r="L139" s="5"/>
      <c r="M139" s="5"/>
      <c r="N139" s="21" t="s">
        <v>1130</v>
      </c>
    </row>
    <row r="140" customFormat="false" ht="15" hidden="false" customHeight="true" outlineLevel="0" collapsed="false">
      <c r="A140" s="5" t="n">
        <v>139</v>
      </c>
      <c r="B140" s="6" t="s">
        <v>852</v>
      </c>
      <c r="C140" s="5"/>
      <c r="D140" s="5" t="s">
        <v>853</v>
      </c>
      <c r="E140" s="5" t="s">
        <v>854</v>
      </c>
      <c r="F140" s="5" t="s">
        <v>139</v>
      </c>
      <c r="G140" s="5" t="s">
        <v>139</v>
      </c>
      <c r="H140" s="7" t="s">
        <v>19</v>
      </c>
      <c r="I140" s="5" t="s">
        <v>1348</v>
      </c>
      <c r="J140" s="5" t="s">
        <v>1338</v>
      </c>
      <c r="K140" s="5"/>
      <c r="L140" s="5" t="s">
        <v>1417</v>
      </c>
      <c r="M140" s="5"/>
      <c r="N140" s="23" t="s">
        <v>810</v>
      </c>
    </row>
    <row r="141" customFormat="false" ht="15" hidden="false" customHeight="true" outlineLevel="0" collapsed="false">
      <c r="A141" s="5" t="n">
        <v>140</v>
      </c>
      <c r="B141" s="6" t="s">
        <v>131</v>
      </c>
      <c r="C141" s="5" t="s">
        <v>132</v>
      </c>
      <c r="D141" s="5" t="s">
        <v>31</v>
      </c>
      <c r="E141" s="5" t="s">
        <v>133</v>
      </c>
      <c r="F141" s="5" t="s">
        <v>17</v>
      </c>
      <c r="G141" s="5" t="s">
        <v>134</v>
      </c>
      <c r="H141" s="8" t="s">
        <v>28</v>
      </c>
      <c r="I141" s="5" t="s">
        <v>1315</v>
      </c>
      <c r="J141" s="5" t="s">
        <v>1316</v>
      </c>
      <c r="K141" s="5"/>
      <c r="L141" s="5" t="s">
        <v>1418</v>
      </c>
      <c r="M141" s="5"/>
      <c r="N141" s="17" t="s">
        <v>13</v>
      </c>
    </row>
    <row r="142" customFormat="false" ht="23.25" hidden="false" customHeight="true" outlineLevel="0" collapsed="false">
      <c r="A142" s="5" t="n">
        <v>141</v>
      </c>
      <c r="B142" s="6" t="s">
        <v>855</v>
      </c>
      <c r="C142" s="5" t="s">
        <v>856</v>
      </c>
      <c r="D142" s="5" t="s">
        <v>857</v>
      </c>
      <c r="E142" s="5" t="s">
        <v>55</v>
      </c>
      <c r="F142" s="5" t="s">
        <v>17</v>
      </c>
      <c r="G142" s="5" t="s">
        <v>858</v>
      </c>
      <c r="H142" s="8" t="s">
        <v>28</v>
      </c>
      <c r="I142" s="5" t="s">
        <v>1317</v>
      </c>
      <c r="J142" s="5" t="s">
        <v>1316</v>
      </c>
      <c r="K142" s="5"/>
      <c r="L142" s="5"/>
      <c r="M142" s="5"/>
      <c r="N142" s="23" t="s">
        <v>810</v>
      </c>
    </row>
    <row r="143" customFormat="false" ht="23.25" hidden="false" customHeight="true" outlineLevel="0" collapsed="false">
      <c r="A143" s="5" t="n">
        <v>142</v>
      </c>
      <c r="B143" s="6" t="s">
        <v>1043</v>
      </c>
      <c r="C143" s="5"/>
      <c r="D143" s="5" t="s">
        <v>1044</v>
      </c>
      <c r="E143" s="5" t="s">
        <v>796</v>
      </c>
      <c r="F143" s="5" t="s">
        <v>109</v>
      </c>
      <c r="G143" s="5" t="s">
        <v>1045</v>
      </c>
      <c r="H143" s="10" t="s">
        <v>56</v>
      </c>
      <c r="I143" s="5" t="s">
        <v>1317</v>
      </c>
      <c r="J143" s="5" t="s">
        <v>1316</v>
      </c>
      <c r="K143" s="5"/>
      <c r="L143" s="5" t="s">
        <v>1419</v>
      </c>
      <c r="M143" s="5"/>
      <c r="N143" s="18" t="s">
        <v>980</v>
      </c>
    </row>
    <row r="144" customFormat="false" ht="15" hidden="false" customHeight="true" outlineLevel="0" collapsed="false">
      <c r="A144" s="5" t="n">
        <v>143</v>
      </c>
      <c r="B144" s="6" t="s">
        <v>1208</v>
      </c>
      <c r="C144" s="5"/>
      <c r="D144" s="5" t="s">
        <v>1041</v>
      </c>
      <c r="E144" s="5" t="s">
        <v>441</v>
      </c>
      <c r="F144" s="5" t="s">
        <v>139</v>
      </c>
      <c r="G144" s="5" t="s">
        <v>139</v>
      </c>
      <c r="H144" s="9" t="s">
        <v>35</v>
      </c>
      <c r="I144" s="5" t="s">
        <v>1317</v>
      </c>
      <c r="J144" s="5" t="s">
        <v>1316</v>
      </c>
      <c r="K144" s="5"/>
      <c r="L144" s="5" t="s">
        <v>1420</v>
      </c>
      <c r="M144" s="5"/>
      <c r="N144" s="21" t="s">
        <v>1130</v>
      </c>
    </row>
    <row r="145" customFormat="false" ht="15" hidden="false" customHeight="true" outlineLevel="0" collapsed="false">
      <c r="A145" s="5" t="n">
        <v>144</v>
      </c>
      <c r="B145" s="6" t="s">
        <v>1047</v>
      </c>
      <c r="C145" s="5"/>
      <c r="D145" s="5" t="s">
        <v>1048</v>
      </c>
      <c r="E145" s="5" t="s">
        <v>569</v>
      </c>
      <c r="F145" s="5" t="s">
        <v>139</v>
      </c>
      <c r="G145" s="5" t="s">
        <v>139</v>
      </c>
      <c r="H145" s="8" t="s">
        <v>28</v>
      </c>
      <c r="I145" s="5" t="s">
        <v>1315</v>
      </c>
      <c r="J145" s="5" t="s">
        <v>1316</v>
      </c>
      <c r="K145" s="5"/>
      <c r="L145" s="5"/>
      <c r="M145" s="5"/>
      <c r="N145" s="18" t="s">
        <v>980</v>
      </c>
    </row>
    <row r="146" customFormat="false" ht="15" hidden="false" customHeight="true" outlineLevel="0" collapsed="false">
      <c r="A146" s="5" t="n">
        <v>145</v>
      </c>
      <c r="B146" s="6" t="s">
        <v>859</v>
      </c>
      <c r="C146" s="5" t="s">
        <v>860</v>
      </c>
      <c r="D146" s="5" t="s">
        <v>861</v>
      </c>
      <c r="E146" s="5" t="s">
        <v>569</v>
      </c>
      <c r="F146" s="5" t="s">
        <v>17</v>
      </c>
      <c r="G146" s="5" t="s">
        <v>202</v>
      </c>
      <c r="H146" s="9" t="s">
        <v>35</v>
      </c>
      <c r="I146" s="5" t="s">
        <v>1317</v>
      </c>
      <c r="J146" s="5" t="s">
        <v>1316</v>
      </c>
      <c r="K146" s="5"/>
      <c r="L146" s="5"/>
      <c r="M146" s="5"/>
      <c r="N146" s="23" t="s">
        <v>810</v>
      </c>
    </row>
    <row r="147" customFormat="false" ht="23.25" hidden="false" customHeight="true" outlineLevel="0" collapsed="false">
      <c r="A147" s="5" t="n">
        <v>146</v>
      </c>
      <c r="B147" s="6" t="s">
        <v>1210</v>
      </c>
      <c r="C147" s="5"/>
      <c r="D147" s="5" t="s">
        <v>1211</v>
      </c>
      <c r="E147" s="5" t="s">
        <v>1212</v>
      </c>
      <c r="F147" s="5" t="s">
        <v>1156</v>
      </c>
      <c r="G147" s="5" t="s">
        <v>1157</v>
      </c>
      <c r="H147" s="8" t="s">
        <v>28</v>
      </c>
      <c r="I147" s="5" t="s">
        <v>1317</v>
      </c>
      <c r="J147" s="5" t="s">
        <v>1316</v>
      </c>
      <c r="K147" s="5"/>
      <c r="L147" s="5"/>
      <c r="M147" s="5"/>
      <c r="N147" s="21" t="s">
        <v>1130</v>
      </c>
    </row>
    <row r="148" customFormat="false" ht="23.25" hidden="false" customHeight="true" outlineLevel="0" collapsed="false">
      <c r="A148" s="5" t="n">
        <v>147</v>
      </c>
      <c r="B148" s="6" t="s">
        <v>1049</v>
      </c>
      <c r="C148" s="5"/>
      <c r="D148" s="5" t="s">
        <v>1050</v>
      </c>
      <c r="E148" s="5" t="s">
        <v>569</v>
      </c>
      <c r="F148" s="5" t="s">
        <v>139</v>
      </c>
      <c r="G148" s="5" t="s">
        <v>139</v>
      </c>
      <c r="H148" s="7" t="s">
        <v>19</v>
      </c>
      <c r="I148" s="5" t="s">
        <v>1410</v>
      </c>
      <c r="J148" s="5" t="s">
        <v>1316</v>
      </c>
      <c r="K148" s="5"/>
      <c r="L148" s="5"/>
      <c r="M148" s="5"/>
      <c r="N148" s="18" t="s">
        <v>980</v>
      </c>
    </row>
    <row r="149" customFormat="false" ht="15" hidden="false" customHeight="true" outlineLevel="0" collapsed="false">
      <c r="A149" s="5" t="n">
        <v>148</v>
      </c>
      <c r="B149" s="6" t="s">
        <v>862</v>
      </c>
      <c r="C149" s="5"/>
      <c r="D149" s="5" t="s">
        <v>863</v>
      </c>
      <c r="E149" s="5" t="s">
        <v>441</v>
      </c>
      <c r="F149" s="5" t="s">
        <v>195</v>
      </c>
      <c r="G149" s="5" t="s">
        <v>195</v>
      </c>
      <c r="H149" s="10" t="s">
        <v>56</v>
      </c>
      <c r="I149" s="5" t="s">
        <v>1317</v>
      </c>
      <c r="J149" s="5" t="s">
        <v>1316</v>
      </c>
      <c r="K149" s="5"/>
      <c r="L149" s="5" t="s">
        <v>1421</v>
      </c>
      <c r="M149" s="5"/>
      <c r="N149" s="23" t="s">
        <v>810</v>
      </c>
    </row>
    <row r="150" customFormat="false" ht="15" hidden="false" customHeight="true" outlineLevel="0" collapsed="false">
      <c r="A150" s="5" t="n">
        <v>149</v>
      </c>
      <c r="B150" s="6" t="s">
        <v>864</v>
      </c>
      <c r="C150" s="5" t="s">
        <v>865</v>
      </c>
      <c r="D150" s="5" t="s">
        <v>866</v>
      </c>
      <c r="E150" s="5" t="s">
        <v>304</v>
      </c>
      <c r="F150" s="5" t="s">
        <v>109</v>
      </c>
      <c r="G150" s="5" t="s">
        <v>867</v>
      </c>
      <c r="H150" s="8" t="s">
        <v>28</v>
      </c>
      <c r="I150" s="5" t="s">
        <v>1317</v>
      </c>
      <c r="J150" s="5" t="s">
        <v>1316</v>
      </c>
      <c r="K150" s="5"/>
      <c r="L150" s="5"/>
      <c r="M150" s="5"/>
      <c r="N150" s="23" t="s">
        <v>810</v>
      </c>
    </row>
    <row r="151" customFormat="false" ht="34.5" hidden="false" customHeight="true" outlineLevel="0" collapsed="false">
      <c r="A151" s="5" t="n">
        <v>150</v>
      </c>
      <c r="B151" s="6" t="s">
        <v>135</v>
      </c>
      <c r="C151" s="5" t="s">
        <v>136</v>
      </c>
      <c r="D151" s="5" t="s">
        <v>137</v>
      </c>
      <c r="E151" s="5" t="s">
        <v>138</v>
      </c>
      <c r="F151" s="5" t="s">
        <v>139</v>
      </c>
      <c r="G151" s="5" t="s">
        <v>140</v>
      </c>
      <c r="H151" s="7" t="s">
        <v>19</v>
      </c>
      <c r="I151" s="5" t="s">
        <v>1422</v>
      </c>
      <c r="J151" s="5" t="s">
        <v>1423</v>
      </c>
      <c r="K151" s="5" t="s">
        <v>1424</v>
      </c>
      <c r="L151" s="5"/>
      <c r="M151" s="5"/>
      <c r="N151" s="17" t="s">
        <v>13</v>
      </c>
    </row>
    <row r="152" customFormat="false" ht="15" hidden="false" customHeight="true" outlineLevel="0" collapsed="false">
      <c r="A152" s="5" t="n">
        <v>151</v>
      </c>
      <c r="B152" s="6" t="s">
        <v>551</v>
      </c>
      <c r="C152" s="5" t="s">
        <v>552</v>
      </c>
      <c r="D152" s="5" t="s">
        <v>159</v>
      </c>
      <c r="E152" s="5" t="s">
        <v>553</v>
      </c>
      <c r="F152" s="5" t="s">
        <v>17</v>
      </c>
      <c r="G152" s="5" t="s">
        <v>554</v>
      </c>
      <c r="H152" s="9" t="s">
        <v>35</v>
      </c>
      <c r="I152" s="5" t="s">
        <v>1315</v>
      </c>
      <c r="J152" s="5" t="s">
        <v>1316</v>
      </c>
      <c r="K152" s="5"/>
      <c r="L152" s="5" t="s">
        <v>1321</v>
      </c>
      <c r="M152" s="5"/>
      <c r="N152" s="22" t="s">
        <v>462</v>
      </c>
    </row>
    <row r="153" customFormat="false" ht="23.25" hidden="false" customHeight="true" outlineLevel="0" collapsed="false">
      <c r="A153" s="5" t="n">
        <v>152</v>
      </c>
      <c r="B153" s="6" t="s">
        <v>709</v>
      </c>
      <c r="C153" s="5" t="s">
        <v>710</v>
      </c>
      <c r="D153" s="5" t="s">
        <v>711</v>
      </c>
      <c r="E153" s="5" t="s">
        <v>170</v>
      </c>
      <c r="F153" s="5" t="s">
        <v>578</v>
      </c>
      <c r="G153" s="5" t="s">
        <v>712</v>
      </c>
      <c r="H153" s="8" t="s">
        <v>28</v>
      </c>
      <c r="I153" s="5" t="s">
        <v>1425</v>
      </c>
      <c r="J153" s="5" t="s">
        <v>1316</v>
      </c>
      <c r="K153" s="5"/>
      <c r="L153" s="5"/>
      <c r="M153" s="5"/>
      <c r="N153" s="20" t="s">
        <v>657</v>
      </c>
    </row>
    <row r="154" customFormat="false" ht="23.25" hidden="false" customHeight="true" outlineLevel="0" collapsed="false">
      <c r="A154" s="5" t="n">
        <v>153</v>
      </c>
      <c r="B154" s="6" t="s">
        <v>868</v>
      </c>
      <c r="C154" s="5"/>
      <c r="D154" s="5" t="s">
        <v>869</v>
      </c>
      <c r="E154" s="5" t="s">
        <v>304</v>
      </c>
      <c r="F154" s="5" t="s">
        <v>870</v>
      </c>
      <c r="G154" s="5" t="s">
        <v>312</v>
      </c>
      <c r="H154" s="9" t="s">
        <v>35</v>
      </c>
      <c r="I154" s="5" t="s">
        <v>1317</v>
      </c>
      <c r="J154" s="5" t="s">
        <v>1316</v>
      </c>
      <c r="K154" s="5"/>
      <c r="L154" s="5" t="s">
        <v>1426</v>
      </c>
      <c r="M154" s="5"/>
      <c r="N154" s="23" t="s">
        <v>810</v>
      </c>
    </row>
    <row r="155" customFormat="false" ht="15" hidden="false" customHeight="true" outlineLevel="0" collapsed="false">
      <c r="A155" s="5" t="n">
        <v>154</v>
      </c>
      <c r="B155" s="6" t="s">
        <v>142</v>
      </c>
      <c r="C155" s="5" t="s">
        <v>143</v>
      </c>
      <c r="D155" s="5" t="s">
        <v>144</v>
      </c>
      <c r="E155" s="5" t="s">
        <v>145</v>
      </c>
      <c r="F155" s="5" t="s">
        <v>103</v>
      </c>
      <c r="G155" s="5" t="s">
        <v>146</v>
      </c>
      <c r="H155" s="8" t="s">
        <v>28</v>
      </c>
      <c r="I155" s="5" t="s">
        <v>1317</v>
      </c>
      <c r="J155" s="5" t="s">
        <v>1316</v>
      </c>
      <c r="K155" s="5"/>
      <c r="L155" s="5"/>
      <c r="M155" s="5"/>
      <c r="N155" s="17" t="s">
        <v>13</v>
      </c>
    </row>
    <row r="156" customFormat="false" ht="15" hidden="false" customHeight="true" outlineLevel="0" collapsed="false">
      <c r="A156" s="5" t="n">
        <v>155</v>
      </c>
      <c r="B156" s="6" t="s">
        <v>713</v>
      </c>
      <c r="C156" s="5"/>
      <c r="D156" s="5" t="s">
        <v>714</v>
      </c>
      <c r="E156" s="5" t="s">
        <v>357</v>
      </c>
      <c r="F156" s="5" t="s">
        <v>17</v>
      </c>
      <c r="G156" s="5" t="s">
        <v>190</v>
      </c>
      <c r="H156" s="9" t="s">
        <v>35</v>
      </c>
      <c r="I156" s="5" t="s">
        <v>1317</v>
      </c>
      <c r="J156" s="5" t="s">
        <v>1316</v>
      </c>
      <c r="K156" s="5"/>
      <c r="L156" s="5"/>
      <c r="M156" s="5"/>
      <c r="N156" s="20" t="s">
        <v>657</v>
      </c>
    </row>
    <row r="157" customFormat="false" ht="15" hidden="false" customHeight="true" outlineLevel="0" collapsed="false">
      <c r="A157" s="5" t="n">
        <v>156</v>
      </c>
      <c r="B157" s="6" t="s">
        <v>349</v>
      </c>
      <c r="C157" s="5" t="s">
        <v>350</v>
      </c>
      <c r="D157" s="5" t="s">
        <v>351</v>
      </c>
      <c r="E157" s="5" t="s">
        <v>352</v>
      </c>
      <c r="F157" s="5" t="s">
        <v>17</v>
      </c>
      <c r="G157" s="5" t="s">
        <v>353</v>
      </c>
      <c r="H157" s="8" t="s">
        <v>28</v>
      </c>
      <c r="I157" s="5" t="s">
        <v>1317</v>
      </c>
      <c r="J157" s="5" t="s">
        <v>1316</v>
      </c>
      <c r="K157" s="5"/>
      <c r="L157" s="5"/>
      <c r="M157" s="5"/>
      <c r="N157" s="19" t="s">
        <v>258</v>
      </c>
    </row>
    <row r="158" customFormat="false" ht="15" hidden="false" customHeight="true" outlineLevel="0" collapsed="false">
      <c r="A158" s="5" t="n">
        <v>157</v>
      </c>
      <c r="B158" s="6" t="s">
        <v>148</v>
      </c>
      <c r="C158" s="5" t="s">
        <v>149</v>
      </c>
      <c r="D158" s="5" t="s">
        <v>150</v>
      </c>
      <c r="E158" s="5" t="s">
        <v>151</v>
      </c>
      <c r="F158" s="5" t="s">
        <v>17</v>
      </c>
      <c r="G158" s="5" t="s">
        <v>146</v>
      </c>
      <c r="H158" s="9" t="s">
        <v>35</v>
      </c>
      <c r="I158" s="5" t="s">
        <v>1317</v>
      </c>
      <c r="J158" s="5" t="s">
        <v>1316</v>
      </c>
      <c r="K158" s="5"/>
      <c r="L158" s="5"/>
      <c r="M158" s="5"/>
      <c r="N158" s="17" t="s">
        <v>13</v>
      </c>
    </row>
    <row r="159" customFormat="false" ht="15" hidden="false" customHeight="true" outlineLevel="0" collapsed="false">
      <c r="A159" s="5" t="n">
        <v>158</v>
      </c>
      <c r="B159" s="6" t="s">
        <v>152</v>
      </c>
      <c r="C159" s="5" t="s">
        <v>153</v>
      </c>
      <c r="D159" s="5" t="s">
        <v>154</v>
      </c>
      <c r="E159" s="5" t="s">
        <v>155</v>
      </c>
      <c r="F159" s="5" t="s">
        <v>17</v>
      </c>
      <c r="G159" s="5" t="s">
        <v>156</v>
      </c>
      <c r="H159" s="8" t="s">
        <v>28</v>
      </c>
      <c r="I159" s="5" t="s">
        <v>1427</v>
      </c>
      <c r="J159" s="5" t="s">
        <v>1358</v>
      </c>
      <c r="K159" s="5" t="s">
        <v>1428</v>
      </c>
      <c r="L159" s="5"/>
      <c r="M159" s="5"/>
      <c r="N159" s="17" t="s">
        <v>13</v>
      </c>
    </row>
    <row r="160" customFormat="false" ht="15" hidden="false" customHeight="true" outlineLevel="0" collapsed="false">
      <c r="A160" s="5" t="n">
        <v>159</v>
      </c>
      <c r="B160" s="6" t="s">
        <v>555</v>
      </c>
      <c r="C160" s="5" t="s">
        <v>556</v>
      </c>
      <c r="D160" s="5" t="s">
        <v>557</v>
      </c>
      <c r="E160" s="5" t="s">
        <v>357</v>
      </c>
      <c r="F160" s="5" t="s">
        <v>17</v>
      </c>
      <c r="G160" s="5" t="s">
        <v>558</v>
      </c>
      <c r="H160" s="9" t="s">
        <v>35</v>
      </c>
      <c r="I160" s="5" t="s">
        <v>1317</v>
      </c>
      <c r="J160" s="5" t="s">
        <v>1316</v>
      </c>
      <c r="K160" s="5"/>
      <c r="L160" s="5" t="s">
        <v>1429</v>
      </c>
      <c r="M160" s="5"/>
      <c r="N160" s="22" t="s">
        <v>462</v>
      </c>
    </row>
    <row r="161" customFormat="false" ht="15" hidden="false" customHeight="true" outlineLevel="0" collapsed="false">
      <c r="A161" s="5" t="n">
        <v>160</v>
      </c>
      <c r="B161" s="6" t="s">
        <v>354</v>
      </c>
      <c r="C161" s="5" t="s">
        <v>355</v>
      </c>
      <c r="D161" s="5" t="s">
        <v>356</v>
      </c>
      <c r="E161" s="5" t="s">
        <v>357</v>
      </c>
      <c r="F161" s="5" t="s">
        <v>17</v>
      </c>
      <c r="G161" s="5" t="s">
        <v>358</v>
      </c>
      <c r="H161" s="8" t="s">
        <v>28</v>
      </c>
      <c r="I161" s="5" t="s">
        <v>1410</v>
      </c>
      <c r="J161" s="5" t="s">
        <v>1316</v>
      </c>
      <c r="K161" s="5" t="s">
        <v>1346</v>
      </c>
      <c r="L161" s="5"/>
      <c r="M161" s="5"/>
      <c r="N161" s="19" t="s">
        <v>258</v>
      </c>
    </row>
    <row r="162" customFormat="false" ht="15" hidden="false" customHeight="true" outlineLevel="0" collapsed="false">
      <c r="A162" s="5" t="n">
        <v>161</v>
      </c>
      <c r="B162" s="6" t="s">
        <v>872</v>
      </c>
      <c r="C162" s="5"/>
      <c r="D162" s="5" t="s">
        <v>873</v>
      </c>
      <c r="E162" s="5" t="s">
        <v>527</v>
      </c>
      <c r="F162" s="5" t="s">
        <v>17</v>
      </c>
      <c r="G162" s="5" t="s">
        <v>874</v>
      </c>
      <c r="H162" s="9" t="s">
        <v>35</v>
      </c>
      <c r="I162" s="5" t="s">
        <v>1317</v>
      </c>
      <c r="J162" s="5" t="s">
        <v>1316</v>
      </c>
      <c r="K162" s="5"/>
      <c r="L162" s="5"/>
      <c r="M162" s="5"/>
      <c r="N162" s="23" t="s">
        <v>810</v>
      </c>
    </row>
    <row r="163" customFormat="false" ht="23.25" hidden="false" customHeight="true" outlineLevel="0" collapsed="false">
      <c r="A163" s="5" t="n">
        <v>162</v>
      </c>
      <c r="B163" s="6" t="s">
        <v>1213</v>
      </c>
      <c r="C163" s="5"/>
      <c r="D163" s="5" t="s">
        <v>1214</v>
      </c>
      <c r="E163" s="5" t="s">
        <v>357</v>
      </c>
      <c r="F163" s="5" t="s">
        <v>109</v>
      </c>
      <c r="G163" s="5" t="s">
        <v>1215</v>
      </c>
      <c r="H163" s="9" t="s">
        <v>35</v>
      </c>
      <c r="I163" s="5" t="s">
        <v>1430</v>
      </c>
      <c r="J163" s="5" t="s">
        <v>1316</v>
      </c>
      <c r="K163" s="5"/>
      <c r="L163" s="5"/>
      <c r="M163" s="5"/>
      <c r="N163" s="21" t="s">
        <v>1130</v>
      </c>
    </row>
    <row r="164" customFormat="false" ht="15" hidden="false" customHeight="true" outlineLevel="0" collapsed="false">
      <c r="A164" s="5" t="n">
        <v>163</v>
      </c>
      <c r="B164" s="6" t="s">
        <v>875</v>
      </c>
      <c r="C164" s="5" t="s">
        <v>876</v>
      </c>
      <c r="D164" s="5" t="s">
        <v>877</v>
      </c>
      <c r="E164" s="5" t="s">
        <v>878</v>
      </c>
      <c r="F164" s="5" t="s">
        <v>471</v>
      </c>
      <c r="G164" s="5" t="s">
        <v>472</v>
      </c>
      <c r="H164" s="10" t="s">
        <v>56</v>
      </c>
      <c r="I164" s="5" t="s">
        <v>1398</v>
      </c>
      <c r="J164" s="5" t="s">
        <v>1399</v>
      </c>
      <c r="K164" s="5"/>
      <c r="L164" s="5"/>
      <c r="M164" s="5"/>
      <c r="N164" s="23" t="s">
        <v>810</v>
      </c>
    </row>
    <row r="165" customFormat="false" ht="15" hidden="false" customHeight="true" outlineLevel="0" collapsed="false">
      <c r="A165" s="5" t="n">
        <v>164</v>
      </c>
      <c r="B165" s="6" t="s">
        <v>1051</v>
      </c>
      <c r="C165" s="5" t="s">
        <v>1052</v>
      </c>
      <c r="D165" s="5" t="s">
        <v>1053</v>
      </c>
      <c r="E165" s="5" t="s">
        <v>1054</v>
      </c>
      <c r="F165" s="5" t="s">
        <v>471</v>
      </c>
      <c r="G165" s="5" t="s">
        <v>471</v>
      </c>
      <c r="H165" s="8" t="s">
        <v>28</v>
      </c>
      <c r="I165" s="5" t="s">
        <v>1431</v>
      </c>
      <c r="J165" s="5" t="s">
        <v>1432</v>
      </c>
      <c r="K165" s="5"/>
      <c r="L165" s="5" t="s">
        <v>1433</v>
      </c>
      <c r="M165" s="5"/>
      <c r="N165" s="18" t="s">
        <v>980</v>
      </c>
    </row>
    <row r="166" customFormat="false" ht="23.25" hidden="false" customHeight="true" outlineLevel="0" collapsed="false">
      <c r="A166" s="5" t="n">
        <v>165</v>
      </c>
      <c r="B166" s="6" t="s">
        <v>879</v>
      </c>
      <c r="C166" s="5" t="s">
        <v>880</v>
      </c>
      <c r="D166" s="5" t="s">
        <v>881</v>
      </c>
      <c r="E166" s="5" t="s">
        <v>295</v>
      </c>
      <c r="F166" s="5" t="s">
        <v>109</v>
      </c>
      <c r="G166" s="5" t="s">
        <v>882</v>
      </c>
      <c r="H166" s="9" t="s">
        <v>35</v>
      </c>
      <c r="I166" s="5" t="s">
        <v>1317</v>
      </c>
      <c r="J166" s="5" t="s">
        <v>1316</v>
      </c>
      <c r="K166" s="5"/>
      <c r="L166" s="5"/>
      <c r="M166" s="5"/>
      <c r="N166" s="23" t="s">
        <v>810</v>
      </c>
    </row>
    <row r="167" customFormat="false" ht="15" hidden="false" customHeight="true" outlineLevel="0" collapsed="false">
      <c r="A167" s="5" t="n">
        <v>166</v>
      </c>
      <c r="B167" s="6" t="s">
        <v>157</v>
      </c>
      <c r="C167" s="5" t="s">
        <v>158</v>
      </c>
      <c r="D167" s="5" t="s">
        <v>159</v>
      </c>
      <c r="E167" s="5" t="s">
        <v>160</v>
      </c>
      <c r="F167" s="5" t="s">
        <v>17</v>
      </c>
      <c r="G167" s="5" t="s">
        <v>161</v>
      </c>
      <c r="H167" s="10" t="s">
        <v>56</v>
      </c>
      <c r="I167" s="5" t="s">
        <v>1315</v>
      </c>
      <c r="J167" s="5" t="s">
        <v>1316</v>
      </c>
      <c r="K167" s="5"/>
      <c r="L167" s="5"/>
      <c r="M167" s="5"/>
      <c r="N167" s="17" t="s">
        <v>13</v>
      </c>
    </row>
    <row r="168" customFormat="false" ht="15" hidden="false" customHeight="true" outlineLevel="0" collapsed="false">
      <c r="A168" s="5" t="n">
        <v>167</v>
      </c>
      <c r="B168" s="6" t="s">
        <v>715</v>
      </c>
      <c r="C168" s="5"/>
      <c r="D168" s="5" t="s">
        <v>716</v>
      </c>
      <c r="E168" s="5" t="s">
        <v>357</v>
      </c>
      <c r="F168" s="5" t="s">
        <v>17</v>
      </c>
      <c r="G168" s="5" t="s">
        <v>252</v>
      </c>
      <c r="H168" s="8" t="s">
        <v>28</v>
      </c>
      <c r="I168" s="5" t="s">
        <v>1317</v>
      </c>
      <c r="J168" s="5" t="s">
        <v>1316</v>
      </c>
      <c r="K168" s="5" t="s">
        <v>1434</v>
      </c>
      <c r="L168" s="5"/>
      <c r="M168" s="5"/>
      <c r="N168" s="20" t="s">
        <v>657</v>
      </c>
    </row>
    <row r="169" customFormat="false" ht="15" hidden="false" customHeight="true" outlineLevel="0" collapsed="false">
      <c r="A169" s="5" t="n">
        <v>168</v>
      </c>
      <c r="B169" s="6" t="s">
        <v>1216</v>
      </c>
      <c r="C169" s="5"/>
      <c r="D169" s="5" t="s">
        <v>1217</v>
      </c>
      <c r="E169" s="5" t="s">
        <v>347</v>
      </c>
      <c r="F169" s="5" t="s">
        <v>885</v>
      </c>
      <c r="G169" s="5" t="s">
        <v>885</v>
      </c>
      <c r="H169" s="7" t="s">
        <v>19</v>
      </c>
      <c r="I169" s="5" t="s">
        <v>1315</v>
      </c>
      <c r="J169" s="5" t="s">
        <v>1316</v>
      </c>
      <c r="K169" s="5" t="s">
        <v>1435</v>
      </c>
      <c r="L169" s="5"/>
      <c r="M169" s="5"/>
      <c r="N169" s="21" t="s">
        <v>1130</v>
      </c>
    </row>
    <row r="170" customFormat="false" ht="15" hidden="false" customHeight="true" outlineLevel="0" collapsed="false">
      <c r="A170" s="5" t="n">
        <v>169</v>
      </c>
      <c r="B170" s="6" t="s">
        <v>559</v>
      </c>
      <c r="C170" s="5" t="s">
        <v>560</v>
      </c>
      <c r="D170" s="5" t="s">
        <v>561</v>
      </c>
      <c r="E170" s="5" t="s">
        <v>180</v>
      </c>
      <c r="F170" s="5" t="s">
        <v>97</v>
      </c>
      <c r="G170" s="5" t="s">
        <v>562</v>
      </c>
      <c r="H170" s="10" t="s">
        <v>56</v>
      </c>
      <c r="I170" s="5" t="s">
        <v>1376</v>
      </c>
      <c r="J170" s="5" t="s">
        <v>1316</v>
      </c>
      <c r="K170" s="5" t="s">
        <v>1436</v>
      </c>
      <c r="L170" s="5"/>
      <c r="M170" s="5"/>
      <c r="N170" s="22" t="s">
        <v>462</v>
      </c>
    </row>
    <row r="171" customFormat="false" ht="15" hidden="false" customHeight="true" outlineLevel="0" collapsed="false">
      <c r="A171" s="5" t="n">
        <v>170</v>
      </c>
      <c r="B171" s="6" t="s">
        <v>1055</v>
      </c>
      <c r="C171" s="5"/>
      <c r="D171" s="5" t="s">
        <v>1056</v>
      </c>
      <c r="E171" s="5"/>
      <c r="F171" s="5" t="s">
        <v>17</v>
      </c>
      <c r="G171" s="5" t="s">
        <v>1057</v>
      </c>
      <c r="H171" s="10" t="s">
        <v>56</v>
      </c>
      <c r="I171" s="5" t="s">
        <v>1317</v>
      </c>
      <c r="J171" s="5" t="s">
        <v>1316</v>
      </c>
      <c r="K171" s="5"/>
      <c r="L171" s="5" t="s">
        <v>1437</v>
      </c>
      <c r="M171" s="5"/>
      <c r="N171" s="18" t="s">
        <v>980</v>
      </c>
    </row>
    <row r="172" customFormat="false" ht="15" hidden="false" customHeight="true" outlineLevel="0" collapsed="false">
      <c r="A172" s="5" t="n">
        <v>171</v>
      </c>
      <c r="B172" s="6" t="s">
        <v>1219</v>
      </c>
      <c r="C172" s="5"/>
      <c r="D172" s="5" t="s">
        <v>1220</v>
      </c>
      <c r="E172" s="5" t="s">
        <v>569</v>
      </c>
      <c r="F172" s="5" t="s">
        <v>17</v>
      </c>
      <c r="G172" s="5" t="s">
        <v>1153</v>
      </c>
      <c r="H172" s="8" t="s">
        <v>28</v>
      </c>
      <c r="I172" s="5" t="s">
        <v>1317</v>
      </c>
      <c r="J172" s="5" t="s">
        <v>1316</v>
      </c>
      <c r="K172" s="5"/>
      <c r="L172" s="5" t="s">
        <v>1438</v>
      </c>
      <c r="M172" s="5"/>
      <c r="N172" s="21" t="s">
        <v>1130</v>
      </c>
    </row>
    <row r="173" customFormat="false" ht="15" hidden="false" customHeight="true" outlineLevel="0" collapsed="false">
      <c r="A173" s="5" t="n">
        <v>172</v>
      </c>
      <c r="B173" s="6" t="s">
        <v>1222</v>
      </c>
      <c r="C173" s="5"/>
      <c r="D173" s="5" t="s">
        <v>1223</v>
      </c>
      <c r="E173" s="5" t="s">
        <v>1224</v>
      </c>
      <c r="F173" s="5" t="s">
        <v>934</v>
      </c>
      <c r="G173" s="5" t="s">
        <v>935</v>
      </c>
      <c r="H173" s="10" t="s">
        <v>56</v>
      </c>
      <c r="I173" s="5" t="s">
        <v>1439</v>
      </c>
      <c r="J173" s="5" t="s">
        <v>1408</v>
      </c>
      <c r="K173" s="5"/>
      <c r="L173" s="5"/>
      <c r="M173" s="5"/>
      <c r="N173" s="21" t="s">
        <v>1130</v>
      </c>
    </row>
    <row r="174" customFormat="false" ht="15" hidden="false" customHeight="true" outlineLevel="0" collapsed="false">
      <c r="A174" s="5" t="n">
        <v>173</v>
      </c>
      <c r="B174" s="6" t="s">
        <v>359</v>
      </c>
      <c r="C174" s="5" t="s">
        <v>360</v>
      </c>
      <c r="D174" s="5" t="s">
        <v>361</v>
      </c>
      <c r="E174" s="5" t="s">
        <v>357</v>
      </c>
      <c r="F174" s="5" t="s">
        <v>139</v>
      </c>
      <c r="G174" s="5" t="s">
        <v>362</v>
      </c>
      <c r="H174" s="9" t="s">
        <v>35</v>
      </c>
      <c r="I174" s="5" t="s">
        <v>1440</v>
      </c>
      <c r="J174" s="5" t="s">
        <v>1316</v>
      </c>
      <c r="K174" s="5"/>
      <c r="L174" s="5"/>
      <c r="M174" s="5"/>
      <c r="N174" s="19" t="s">
        <v>258</v>
      </c>
    </row>
    <row r="175" customFormat="false" ht="15" hidden="false" customHeight="true" outlineLevel="0" collapsed="false">
      <c r="A175" s="5" t="n">
        <v>174</v>
      </c>
      <c r="B175" s="6" t="s">
        <v>162</v>
      </c>
      <c r="C175" s="5" t="s">
        <v>163</v>
      </c>
      <c r="D175" s="5" t="s">
        <v>164</v>
      </c>
      <c r="E175" s="5" t="s">
        <v>165</v>
      </c>
      <c r="F175" s="5" t="s">
        <v>17</v>
      </c>
      <c r="G175" s="5" t="s">
        <v>166</v>
      </c>
      <c r="H175" s="9" t="s">
        <v>35</v>
      </c>
      <c r="I175" s="5" t="s">
        <v>1315</v>
      </c>
      <c r="J175" s="5" t="s">
        <v>1316</v>
      </c>
      <c r="K175" s="5"/>
      <c r="L175" s="5"/>
      <c r="M175" s="5"/>
      <c r="N175" s="17" t="s">
        <v>13</v>
      </c>
    </row>
    <row r="176" customFormat="false" ht="15" hidden="false" customHeight="true" outlineLevel="0" collapsed="false">
      <c r="A176" s="5" t="n">
        <v>175</v>
      </c>
      <c r="B176" s="6" t="s">
        <v>1058</v>
      </c>
      <c r="C176" s="5"/>
      <c r="D176" s="5" t="s">
        <v>1059</v>
      </c>
      <c r="E176" s="5" t="s">
        <v>962</v>
      </c>
      <c r="F176" s="5" t="s">
        <v>17</v>
      </c>
      <c r="G176" s="5" t="s">
        <v>997</v>
      </c>
      <c r="H176" s="10" t="s">
        <v>56</v>
      </c>
      <c r="I176" s="5" t="s">
        <v>1317</v>
      </c>
      <c r="J176" s="5" t="s">
        <v>1316</v>
      </c>
      <c r="K176" s="5"/>
      <c r="L176" s="5"/>
      <c r="M176" s="5"/>
      <c r="N176" s="18" t="s">
        <v>980</v>
      </c>
    </row>
    <row r="177" customFormat="false" ht="23.25" hidden="false" customHeight="true" outlineLevel="0" collapsed="false">
      <c r="A177" s="5" t="n">
        <v>176</v>
      </c>
      <c r="B177" s="6" t="s">
        <v>1060</v>
      </c>
      <c r="C177" s="5"/>
      <c r="D177" s="5" t="s">
        <v>1061</v>
      </c>
      <c r="E177" s="5" t="s">
        <v>357</v>
      </c>
      <c r="F177" s="5" t="s">
        <v>139</v>
      </c>
      <c r="G177" s="5" t="s">
        <v>139</v>
      </c>
      <c r="H177" s="9" t="s">
        <v>35</v>
      </c>
      <c r="I177" s="5" t="s">
        <v>1317</v>
      </c>
      <c r="J177" s="5" t="s">
        <v>1316</v>
      </c>
      <c r="K177" s="5"/>
      <c r="L177" s="5"/>
      <c r="M177" s="5"/>
      <c r="N177" s="18" t="s">
        <v>980</v>
      </c>
    </row>
    <row r="178" customFormat="false" ht="23.25" hidden="false" customHeight="true" outlineLevel="0" collapsed="false">
      <c r="A178" s="5" t="n">
        <v>177</v>
      </c>
      <c r="B178" s="6" t="s">
        <v>717</v>
      </c>
      <c r="C178" s="5" t="s">
        <v>718</v>
      </c>
      <c r="D178" s="5" t="s">
        <v>624</v>
      </c>
      <c r="E178" s="5" t="s">
        <v>214</v>
      </c>
      <c r="F178" s="5" t="s">
        <v>103</v>
      </c>
      <c r="G178" s="5" t="s">
        <v>146</v>
      </c>
      <c r="H178" s="10" t="s">
        <v>56</v>
      </c>
      <c r="I178" s="5" t="s">
        <v>1317</v>
      </c>
      <c r="J178" s="5" t="s">
        <v>1316</v>
      </c>
      <c r="K178" s="5"/>
      <c r="L178" s="5" t="s">
        <v>1441</v>
      </c>
      <c r="M178" s="5"/>
      <c r="N178" s="20" t="s">
        <v>657</v>
      </c>
    </row>
    <row r="179" customFormat="false" ht="15" hidden="false" customHeight="true" outlineLevel="0" collapsed="false">
      <c r="A179" s="5" t="n">
        <v>178</v>
      </c>
      <c r="B179" s="6" t="s">
        <v>1226</v>
      </c>
      <c r="C179" s="5"/>
      <c r="D179" s="5" t="s">
        <v>1227</v>
      </c>
      <c r="E179" s="5" t="s">
        <v>1228</v>
      </c>
      <c r="F179" s="5" t="s">
        <v>1229</v>
      </c>
      <c r="G179" s="5" t="s">
        <v>1230</v>
      </c>
      <c r="H179" s="9" t="s">
        <v>35</v>
      </c>
      <c r="I179" s="5" t="s">
        <v>1317</v>
      </c>
      <c r="J179" s="5" t="s">
        <v>1316</v>
      </c>
      <c r="K179" s="5"/>
      <c r="L179" s="5"/>
      <c r="M179" s="5"/>
      <c r="N179" s="21" t="s">
        <v>1130</v>
      </c>
    </row>
    <row r="180" customFormat="false" ht="23.25" hidden="false" customHeight="true" outlineLevel="0" collapsed="false">
      <c r="A180" s="5" t="n">
        <v>179</v>
      </c>
      <c r="B180" s="6" t="s">
        <v>719</v>
      </c>
      <c r="C180" s="5" t="s">
        <v>720</v>
      </c>
      <c r="D180" s="5" t="s">
        <v>328</v>
      </c>
      <c r="E180" s="5" t="s">
        <v>386</v>
      </c>
      <c r="F180" s="5" t="s">
        <v>572</v>
      </c>
      <c r="G180" s="5" t="s">
        <v>572</v>
      </c>
      <c r="H180" s="10" t="s">
        <v>56</v>
      </c>
      <c r="I180" s="5" t="s">
        <v>1317</v>
      </c>
      <c r="J180" s="5" t="s">
        <v>1316</v>
      </c>
      <c r="K180" s="5"/>
      <c r="L180" s="5" t="s">
        <v>1442</v>
      </c>
      <c r="M180" s="5"/>
      <c r="N180" s="20" t="s">
        <v>657</v>
      </c>
    </row>
    <row r="181" customFormat="false" ht="15" hidden="false" customHeight="true" outlineLevel="0" collapsed="false">
      <c r="A181" s="5" t="n">
        <v>180</v>
      </c>
      <c r="B181" s="6" t="s">
        <v>364</v>
      </c>
      <c r="C181" s="5" t="s">
        <v>365</v>
      </c>
      <c r="D181" s="5" t="s">
        <v>95</v>
      </c>
      <c r="E181" s="5" t="s">
        <v>366</v>
      </c>
      <c r="F181" s="5" t="s">
        <v>97</v>
      </c>
      <c r="G181" s="5" t="s">
        <v>367</v>
      </c>
      <c r="H181" s="8" t="s">
        <v>28</v>
      </c>
      <c r="I181" s="5" t="s">
        <v>1315</v>
      </c>
      <c r="J181" s="5" t="s">
        <v>1316</v>
      </c>
      <c r="K181" s="5"/>
      <c r="L181" s="5" t="s">
        <v>1443</v>
      </c>
      <c r="M181" s="5"/>
      <c r="N181" s="19" t="s">
        <v>258</v>
      </c>
    </row>
    <row r="182" customFormat="false" ht="15" hidden="false" customHeight="true" outlineLevel="0" collapsed="false">
      <c r="A182" s="5" t="n">
        <v>181</v>
      </c>
      <c r="B182" s="6" t="s">
        <v>563</v>
      </c>
      <c r="C182" s="5" t="s">
        <v>564</v>
      </c>
      <c r="D182" s="5" t="s">
        <v>565</v>
      </c>
      <c r="E182" s="5" t="s">
        <v>155</v>
      </c>
      <c r="F182" s="5" t="s">
        <v>17</v>
      </c>
      <c r="G182" s="5" t="s">
        <v>566</v>
      </c>
      <c r="H182" s="9" t="s">
        <v>35</v>
      </c>
      <c r="I182" s="5" t="s">
        <v>1317</v>
      </c>
      <c r="J182" s="5" t="s">
        <v>1316</v>
      </c>
      <c r="K182" s="5"/>
      <c r="L182" s="5"/>
      <c r="M182" s="5"/>
      <c r="N182" s="22" t="s">
        <v>462</v>
      </c>
    </row>
    <row r="183" customFormat="false" ht="15" hidden="false" customHeight="true" outlineLevel="0" collapsed="false">
      <c r="A183" s="5" t="n">
        <v>182</v>
      </c>
      <c r="B183" s="6" t="s">
        <v>1232</v>
      </c>
      <c r="C183" s="5"/>
      <c r="D183" s="5" t="s">
        <v>1220</v>
      </c>
      <c r="E183" s="5" t="s">
        <v>446</v>
      </c>
      <c r="F183" s="5" t="s">
        <v>17</v>
      </c>
      <c r="G183" s="5" t="s">
        <v>1153</v>
      </c>
      <c r="H183" s="8" t="s">
        <v>28</v>
      </c>
      <c r="I183" s="5" t="s">
        <v>1317</v>
      </c>
      <c r="J183" s="5" t="s">
        <v>1316</v>
      </c>
      <c r="K183" s="5"/>
      <c r="L183" s="5" t="s">
        <v>1438</v>
      </c>
      <c r="M183" s="5"/>
      <c r="N183" s="21" t="s">
        <v>1130</v>
      </c>
    </row>
    <row r="184" customFormat="false" ht="15" hidden="false" customHeight="true" outlineLevel="0" collapsed="false">
      <c r="A184" s="5" t="n">
        <v>183</v>
      </c>
      <c r="B184" s="6" t="s">
        <v>1062</v>
      </c>
      <c r="C184" s="5"/>
      <c r="D184" s="5" t="s">
        <v>1063</v>
      </c>
      <c r="E184" s="5" t="s">
        <v>357</v>
      </c>
      <c r="F184" s="5" t="s">
        <v>17</v>
      </c>
      <c r="G184" s="5" t="s">
        <v>348</v>
      </c>
      <c r="H184" s="8" t="s">
        <v>28</v>
      </c>
      <c r="I184" s="5" t="s">
        <v>1444</v>
      </c>
      <c r="J184" s="5" t="s">
        <v>1316</v>
      </c>
      <c r="K184" s="5"/>
      <c r="L184" s="5"/>
      <c r="M184" s="5"/>
      <c r="N184" s="18" t="s">
        <v>980</v>
      </c>
    </row>
    <row r="185" customFormat="false" ht="15" hidden="false" customHeight="true" outlineLevel="0" collapsed="false">
      <c r="A185" s="5" t="n">
        <v>184</v>
      </c>
      <c r="B185" s="6" t="s">
        <v>721</v>
      </c>
      <c r="C185" s="5" t="s">
        <v>722</v>
      </c>
      <c r="D185" s="5" t="s">
        <v>45</v>
      </c>
      <c r="E185" s="5" t="s">
        <v>723</v>
      </c>
      <c r="F185" s="5" t="s">
        <v>17</v>
      </c>
      <c r="G185" s="5" t="s">
        <v>724</v>
      </c>
      <c r="H185" s="8" t="s">
        <v>28</v>
      </c>
      <c r="I185" s="5" t="s">
        <v>1317</v>
      </c>
      <c r="J185" s="5" t="s">
        <v>1316</v>
      </c>
      <c r="K185" s="5"/>
      <c r="L185" s="5"/>
      <c r="M185" s="5"/>
      <c r="N185" s="20" t="s">
        <v>657</v>
      </c>
    </row>
    <row r="186" customFormat="false" ht="23.25" hidden="false" customHeight="true" outlineLevel="0" collapsed="false">
      <c r="A186" s="5" t="n">
        <v>185</v>
      </c>
      <c r="B186" s="6" t="s">
        <v>883</v>
      </c>
      <c r="C186" s="5"/>
      <c r="D186" s="5" t="s">
        <v>884</v>
      </c>
      <c r="E186" s="5" t="s">
        <v>304</v>
      </c>
      <c r="F186" s="5" t="s">
        <v>885</v>
      </c>
      <c r="G186" s="5" t="s">
        <v>885</v>
      </c>
      <c r="H186" s="10" t="s">
        <v>56</v>
      </c>
      <c r="I186" s="5" t="s">
        <v>1317</v>
      </c>
      <c r="J186" s="5" t="s">
        <v>1316</v>
      </c>
      <c r="K186" s="5"/>
      <c r="L186" s="5"/>
      <c r="M186" s="5"/>
      <c r="N186" s="23" t="s">
        <v>810</v>
      </c>
    </row>
    <row r="187" customFormat="false" ht="15" hidden="false" customHeight="true" outlineLevel="0" collapsed="false">
      <c r="A187" s="5" t="n">
        <v>186</v>
      </c>
      <c r="B187" s="6" t="s">
        <v>886</v>
      </c>
      <c r="C187" s="5" t="s">
        <v>887</v>
      </c>
      <c r="D187" s="5" t="s">
        <v>888</v>
      </c>
      <c r="E187" s="5" t="s">
        <v>304</v>
      </c>
      <c r="F187" s="5" t="s">
        <v>109</v>
      </c>
      <c r="G187" s="5" t="s">
        <v>889</v>
      </c>
      <c r="H187" s="8" t="s">
        <v>28</v>
      </c>
      <c r="I187" s="5" t="s">
        <v>1317</v>
      </c>
      <c r="J187" s="5" t="s">
        <v>1316</v>
      </c>
      <c r="K187" s="5"/>
      <c r="L187" s="5"/>
      <c r="M187" s="5"/>
      <c r="N187" s="23" t="s">
        <v>810</v>
      </c>
    </row>
    <row r="188" customFormat="false" ht="15" hidden="false" customHeight="true" outlineLevel="0" collapsed="false">
      <c r="A188" s="5" t="n">
        <v>187</v>
      </c>
      <c r="B188" s="6" t="s">
        <v>890</v>
      </c>
      <c r="C188" s="5"/>
      <c r="D188" s="5" t="s">
        <v>891</v>
      </c>
      <c r="E188" s="5" t="s">
        <v>486</v>
      </c>
      <c r="F188" s="5" t="s">
        <v>885</v>
      </c>
      <c r="G188" s="5" t="s">
        <v>885</v>
      </c>
      <c r="H188" s="8" t="s">
        <v>28</v>
      </c>
      <c r="I188" s="5" t="s">
        <v>1317</v>
      </c>
      <c r="J188" s="5" t="s">
        <v>1316</v>
      </c>
      <c r="K188" s="5"/>
      <c r="L188" s="5"/>
      <c r="M188" s="5"/>
      <c r="N188" s="23" t="s">
        <v>810</v>
      </c>
    </row>
    <row r="189" customFormat="false" ht="15" hidden="false" customHeight="true" outlineLevel="0" collapsed="false">
      <c r="A189" s="5" t="n">
        <v>188</v>
      </c>
      <c r="B189" s="6" t="s">
        <v>1234</v>
      </c>
      <c r="C189" s="5"/>
      <c r="D189" s="5" t="s">
        <v>869</v>
      </c>
      <c r="E189" s="5" t="s">
        <v>486</v>
      </c>
      <c r="F189" s="5" t="s">
        <v>547</v>
      </c>
      <c r="G189" s="5" t="s">
        <v>547</v>
      </c>
      <c r="H189" s="9" t="s">
        <v>35</v>
      </c>
      <c r="I189" s="5" t="s">
        <v>1317</v>
      </c>
      <c r="J189" s="5" t="s">
        <v>1316</v>
      </c>
      <c r="K189" s="5"/>
      <c r="L189" s="5" t="s">
        <v>1445</v>
      </c>
      <c r="M189" s="5"/>
      <c r="N189" s="21" t="s">
        <v>1130</v>
      </c>
    </row>
    <row r="190" customFormat="false" ht="15" hidden="false" customHeight="true" outlineLevel="0" collapsed="false">
      <c r="A190" s="5" t="n">
        <v>189</v>
      </c>
      <c r="B190" s="6" t="s">
        <v>368</v>
      </c>
      <c r="C190" s="5" t="s">
        <v>369</v>
      </c>
      <c r="D190" s="5" t="s">
        <v>159</v>
      </c>
      <c r="E190" s="5" t="s">
        <v>370</v>
      </c>
      <c r="F190" s="5" t="s">
        <v>17</v>
      </c>
      <c r="G190" s="5" t="s">
        <v>161</v>
      </c>
      <c r="H190" s="9" t="s">
        <v>35</v>
      </c>
      <c r="I190" s="5" t="s">
        <v>1315</v>
      </c>
      <c r="J190" s="5" t="s">
        <v>1316</v>
      </c>
      <c r="K190" s="5"/>
      <c r="L190" s="5"/>
      <c r="M190" s="5"/>
      <c r="N190" s="19" t="s">
        <v>258</v>
      </c>
    </row>
    <row r="191" customFormat="false" ht="15" hidden="false" customHeight="true" outlineLevel="0" collapsed="false">
      <c r="A191" s="5" t="n">
        <v>190</v>
      </c>
      <c r="B191" s="6" t="s">
        <v>892</v>
      </c>
      <c r="C191" s="5"/>
      <c r="D191" s="5" t="s">
        <v>893</v>
      </c>
      <c r="E191" s="5" t="s">
        <v>16</v>
      </c>
      <c r="F191" s="5" t="s">
        <v>17</v>
      </c>
      <c r="G191" s="5" t="s">
        <v>185</v>
      </c>
      <c r="H191" s="8" t="s">
        <v>28</v>
      </c>
      <c r="I191" s="5" t="s">
        <v>1317</v>
      </c>
      <c r="J191" s="5" t="s">
        <v>1316</v>
      </c>
      <c r="K191" s="5"/>
      <c r="L191" s="5" t="s">
        <v>1446</v>
      </c>
      <c r="M191" s="5"/>
      <c r="N191" s="23" t="s">
        <v>810</v>
      </c>
    </row>
    <row r="192" customFormat="false" ht="15" hidden="false" customHeight="true" outlineLevel="0" collapsed="false">
      <c r="A192" s="5" t="n">
        <v>191</v>
      </c>
      <c r="B192" s="6" t="s">
        <v>894</v>
      </c>
      <c r="C192" s="5"/>
      <c r="D192" s="5" t="s">
        <v>895</v>
      </c>
      <c r="E192" s="5" t="s">
        <v>16</v>
      </c>
      <c r="F192" s="5" t="s">
        <v>17</v>
      </c>
      <c r="G192" s="5" t="s">
        <v>896</v>
      </c>
      <c r="H192" s="8" t="s">
        <v>28</v>
      </c>
      <c r="I192" s="5" t="s">
        <v>1317</v>
      </c>
      <c r="J192" s="5" t="s">
        <v>1316</v>
      </c>
      <c r="K192" s="5"/>
      <c r="L192" s="5" t="s">
        <v>1447</v>
      </c>
      <c r="M192" s="5"/>
      <c r="N192" s="23" t="s">
        <v>810</v>
      </c>
    </row>
    <row r="193" customFormat="false" ht="15" hidden="false" customHeight="true" outlineLevel="0" collapsed="false">
      <c r="A193" s="5" t="n">
        <v>192</v>
      </c>
      <c r="B193" s="6" t="s">
        <v>371</v>
      </c>
      <c r="C193" s="5"/>
      <c r="D193" s="5" t="s">
        <v>372</v>
      </c>
      <c r="E193" s="5" t="s">
        <v>373</v>
      </c>
      <c r="F193" s="5" t="s">
        <v>17</v>
      </c>
      <c r="G193" s="5" t="s">
        <v>374</v>
      </c>
      <c r="H193" s="10" t="s">
        <v>56</v>
      </c>
      <c r="I193" s="5" t="s">
        <v>1448</v>
      </c>
      <c r="J193" s="5" t="s">
        <v>1408</v>
      </c>
      <c r="K193" s="5" t="s">
        <v>1449</v>
      </c>
      <c r="L193" s="5"/>
      <c r="M193" s="5"/>
      <c r="N193" s="19" t="s">
        <v>258</v>
      </c>
    </row>
    <row r="194" customFormat="false" ht="15" hidden="false" customHeight="true" outlineLevel="0" collapsed="false">
      <c r="A194" s="5" t="n">
        <v>193</v>
      </c>
      <c r="B194" s="6" t="s">
        <v>167</v>
      </c>
      <c r="C194" s="5" t="s">
        <v>168</v>
      </c>
      <c r="D194" s="5" t="s">
        <v>169</v>
      </c>
      <c r="E194" s="5" t="s">
        <v>170</v>
      </c>
      <c r="F194" s="5" t="s">
        <v>17</v>
      </c>
      <c r="G194" s="5" t="s">
        <v>171</v>
      </c>
      <c r="H194" s="7" t="s">
        <v>19</v>
      </c>
      <c r="I194" s="5" t="s">
        <v>1317</v>
      </c>
      <c r="J194" s="5" t="s">
        <v>1316</v>
      </c>
      <c r="K194" s="5"/>
      <c r="L194" s="5" t="s">
        <v>1450</v>
      </c>
      <c r="M194" s="5"/>
      <c r="N194" s="17" t="s">
        <v>13</v>
      </c>
    </row>
    <row r="195" customFormat="false" ht="23.25" hidden="false" customHeight="true" outlineLevel="0" collapsed="false">
      <c r="A195" s="5" t="n">
        <v>194</v>
      </c>
      <c r="B195" s="6" t="s">
        <v>567</v>
      </c>
      <c r="C195" s="5"/>
      <c r="D195" s="5" t="s">
        <v>568</v>
      </c>
      <c r="E195" s="5" t="s">
        <v>569</v>
      </c>
      <c r="F195" s="5" t="s">
        <v>17</v>
      </c>
      <c r="G195" s="5" t="s">
        <v>252</v>
      </c>
      <c r="H195" s="7" t="s">
        <v>19</v>
      </c>
      <c r="I195" s="5" t="s">
        <v>1315</v>
      </c>
      <c r="J195" s="5" t="s">
        <v>1316</v>
      </c>
      <c r="K195" s="5" t="s">
        <v>1451</v>
      </c>
      <c r="L195" s="5"/>
      <c r="M195" s="5"/>
      <c r="N195" s="22" t="s">
        <v>462</v>
      </c>
    </row>
    <row r="196" customFormat="false" ht="15" hidden="false" customHeight="true" outlineLevel="0" collapsed="false">
      <c r="A196" s="5" t="n">
        <v>195</v>
      </c>
      <c r="B196" s="6" t="s">
        <v>1236</v>
      </c>
      <c r="C196" s="5"/>
      <c r="D196" s="5" t="s">
        <v>1223</v>
      </c>
      <c r="E196" s="5" t="s">
        <v>1237</v>
      </c>
      <c r="F196" s="5" t="s">
        <v>934</v>
      </c>
      <c r="G196" s="5" t="s">
        <v>935</v>
      </c>
      <c r="H196" s="7" t="s">
        <v>19</v>
      </c>
      <c r="I196" s="5" t="s">
        <v>1439</v>
      </c>
      <c r="J196" s="5" t="s">
        <v>1408</v>
      </c>
      <c r="K196" s="5"/>
      <c r="L196" s="5"/>
      <c r="M196" s="5"/>
      <c r="N196" s="21" t="s">
        <v>1130</v>
      </c>
    </row>
    <row r="197" customFormat="false" ht="15" hidden="false" customHeight="true" outlineLevel="0" collapsed="false">
      <c r="A197" s="5" t="n">
        <v>196</v>
      </c>
      <c r="B197" s="6" t="s">
        <v>570</v>
      </c>
      <c r="C197" s="5" t="s">
        <v>571</v>
      </c>
      <c r="D197" s="5" t="s">
        <v>174</v>
      </c>
      <c r="E197" s="5" t="s">
        <v>514</v>
      </c>
      <c r="F197" s="5" t="s">
        <v>572</v>
      </c>
      <c r="G197" s="5" t="s">
        <v>572</v>
      </c>
      <c r="H197" s="8" t="s">
        <v>28</v>
      </c>
      <c r="I197" s="5" t="s">
        <v>1317</v>
      </c>
      <c r="J197" s="5" t="s">
        <v>1316</v>
      </c>
      <c r="K197" s="5" t="s">
        <v>1452</v>
      </c>
      <c r="L197" s="5"/>
      <c r="M197" s="5"/>
      <c r="N197" s="22" t="s">
        <v>462</v>
      </c>
    </row>
    <row r="198" customFormat="false" ht="23.25" hidden="false" customHeight="true" outlineLevel="0" collapsed="false">
      <c r="A198" s="5" t="n">
        <v>197</v>
      </c>
      <c r="B198" s="6" t="s">
        <v>1238</v>
      </c>
      <c r="C198" s="5" t="s">
        <v>1239</v>
      </c>
      <c r="D198" s="5" t="s">
        <v>1240</v>
      </c>
      <c r="E198" s="5" t="s">
        <v>108</v>
      </c>
      <c r="F198" s="5" t="s">
        <v>109</v>
      </c>
      <c r="G198" s="5" t="s">
        <v>1241</v>
      </c>
      <c r="H198" s="9" t="s">
        <v>35</v>
      </c>
      <c r="I198" s="5" t="s">
        <v>1317</v>
      </c>
      <c r="J198" s="5" t="s">
        <v>1316</v>
      </c>
      <c r="K198" s="5"/>
      <c r="L198" s="5" t="s">
        <v>1453</v>
      </c>
      <c r="M198" s="5"/>
      <c r="N198" s="21" t="s">
        <v>1130</v>
      </c>
    </row>
    <row r="199" customFormat="false" ht="15" hidden="false" customHeight="true" outlineLevel="0" collapsed="false">
      <c r="A199" s="5" t="n">
        <v>198</v>
      </c>
      <c r="B199" s="6" t="s">
        <v>897</v>
      </c>
      <c r="C199" s="5"/>
      <c r="D199" s="5" t="s">
        <v>898</v>
      </c>
      <c r="E199" s="5" t="s">
        <v>201</v>
      </c>
      <c r="F199" s="5" t="s">
        <v>195</v>
      </c>
      <c r="G199" s="5" t="s">
        <v>195</v>
      </c>
      <c r="H199" s="8" t="s">
        <v>28</v>
      </c>
      <c r="I199" s="5" t="s">
        <v>1454</v>
      </c>
      <c r="J199" s="5" t="s">
        <v>1358</v>
      </c>
      <c r="K199" s="5"/>
      <c r="L199" s="5" t="s">
        <v>1455</v>
      </c>
      <c r="M199" s="5"/>
      <c r="N199" s="23" t="s">
        <v>810</v>
      </c>
    </row>
    <row r="200" customFormat="false" ht="15" hidden="false" customHeight="true" outlineLevel="0" collapsed="false">
      <c r="A200" s="5" t="n">
        <v>199</v>
      </c>
      <c r="B200" s="6" t="s">
        <v>725</v>
      </c>
      <c r="C200" s="5" t="s">
        <v>726</v>
      </c>
      <c r="D200" s="5" t="s">
        <v>518</v>
      </c>
      <c r="E200" s="5" t="s">
        <v>347</v>
      </c>
      <c r="F200" s="5" t="s">
        <v>33</v>
      </c>
      <c r="G200" s="5" t="s">
        <v>727</v>
      </c>
      <c r="H200" s="8" t="s">
        <v>28</v>
      </c>
      <c r="I200" s="5" t="s">
        <v>1315</v>
      </c>
      <c r="J200" s="5" t="s">
        <v>1316</v>
      </c>
      <c r="K200" s="5"/>
      <c r="L200" s="5" t="s">
        <v>1456</v>
      </c>
      <c r="M200" s="5"/>
      <c r="N200" s="20" t="s">
        <v>657</v>
      </c>
    </row>
    <row r="201" customFormat="false" ht="15" hidden="false" customHeight="true" outlineLevel="0" collapsed="false">
      <c r="A201" s="5" t="n">
        <v>200</v>
      </c>
      <c r="B201" s="6" t="s">
        <v>728</v>
      </c>
      <c r="C201" s="5" t="s">
        <v>729</v>
      </c>
      <c r="D201" s="5" t="s">
        <v>730</v>
      </c>
      <c r="E201" s="5" t="s">
        <v>307</v>
      </c>
      <c r="F201" s="5" t="s">
        <v>195</v>
      </c>
      <c r="G201" s="5" t="s">
        <v>629</v>
      </c>
      <c r="H201" s="10" t="s">
        <v>56</v>
      </c>
      <c r="I201" s="5" t="s">
        <v>1315</v>
      </c>
      <c r="J201" s="5" t="s">
        <v>1316</v>
      </c>
      <c r="K201" s="5"/>
      <c r="L201" s="5" t="s">
        <v>1457</v>
      </c>
      <c r="M201" s="5"/>
      <c r="N201" s="20" t="s">
        <v>657</v>
      </c>
    </row>
    <row r="202" customFormat="false" ht="15" hidden="false" customHeight="true" outlineLevel="0" collapsed="false">
      <c r="A202" s="5" t="n">
        <v>201</v>
      </c>
      <c r="B202" s="6" t="s">
        <v>375</v>
      </c>
      <c r="C202" s="5" t="s">
        <v>376</v>
      </c>
      <c r="D202" s="5" t="s">
        <v>377</v>
      </c>
      <c r="E202" s="5" t="s">
        <v>378</v>
      </c>
      <c r="F202" s="5" t="s">
        <v>17</v>
      </c>
      <c r="G202" s="5" t="s">
        <v>379</v>
      </c>
      <c r="H202" s="8" t="s">
        <v>28</v>
      </c>
      <c r="I202" s="5" t="s">
        <v>1317</v>
      </c>
      <c r="J202" s="5" t="s">
        <v>1316</v>
      </c>
      <c r="K202" s="5" t="s">
        <v>1458</v>
      </c>
      <c r="L202" s="5" t="s">
        <v>1459</v>
      </c>
      <c r="M202" s="5"/>
      <c r="N202" s="19" t="s">
        <v>258</v>
      </c>
    </row>
    <row r="203" customFormat="false" ht="15" hidden="false" customHeight="true" outlineLevel="0" collapsed="false">
      <c r="A203" s="5" t="n">
        <v>202</v>
      </c>
      <c r="B203" s="6" t="s">
        <v>380</v>
      </c>
      <c r="C203" s="5" t="s">
        <v>381</v>
      </c>
      <c r="D203" s="5" t="s">
        <v>382</v>
      </c>
      <c r="E203" s="5" t="s">
        <v>189</v>
      </c>
      <c r="F203" s="5" t="s">
        <v>139</v>
      </c>
      <c r="G203" s="5" t="s">
        <v>139</v>
      </c>
      <c r="H203" s="8" t="s">
        <v>28</v>
      </c>
      <c r="I203" s="5" t="s">
        <v>1460</v>
      </c>
      <c r="J203" s="5" t="s">
        <v>1316</v>
      </c>
      <c r="K203" s="5"/>
      <c r="L203" s="5" t="s">
        <v>1461</v>
      </c>
      <c r="M203" s="5"/>
      <c r="N203" s="19" t="s">
        <v>258</v>
      </c>
    </row>
    <row r="204" customFormat="false" ht="15" hidden="false" customHeight="true" outlineLevel="0" collapsed="false">
      <c r="A204" s="5" t="n">
        <v>203</v>
      </c>
      <c r="B204" s="6" t="s">
        <v>899</v>
      </c>
      <c r="C204" s="5"/>
      <c r="D204" s="5" t="s">
        <v>900</v>
      </c>
      <c r="E204" s="5" t="s">
        <v>357</v>
      </c>
      <c r="F204" s="5" t="s">
        <v>109</v>
      </c>
      <c r="G204" s="5" t="s">
        <v>901</v>
      </c>
      <c r="H204" s="9" t="s">
        <v>35</v>
      </c>
      <c r="I204" s="5" t="s">
        <v>1317</v>
      </c>
      <c r="J204" s="5" t="s">
        <v>1316</v>
      </c>
      <c r="K204" s="5"/>
      <c r="L204" s="5"/>
      <c r="M204" s="5"/>
      <c r="N204" s="23" t="s">
        <v>810</v>
      </c>
    </row>
    <row r="205" customFormat="false" ht="15" hidden="false" customHeight="true" outlineLevel="0" collapsed="false">
      <c r="A205" s="5" t="n">
        <v>204</v>
      </c>
      <c r="B205" s="6" t="s">
        <v>1064</v>
      </c>
      <c r="C205" s="5"/>
      <c r="D205" s="5" t="s">
        <v>824</v>
      </c>
      <c r="E205" s="5" t="s">
        <v>1054</v>
      </c>
      <c r="F205" s="5" t="s">
        <v>471</v>
      </c>
      <c r="G205" s="5" t="s">
        <v>471</v>
      </c>
      <c r="H205" s="10" t="s">
        <v>56</v>
      </c>
      <c r="I205" s="5" t="s">
        <v>1317</v>
      </c>
      <c r="J205" s="5" t="s">
        <v>1316</v>
      </c>
      <c r="K205" s="5"/>
      <c r="L205" s="5"/>
      <c r="M205" s="5"/>
      <c r="N205" s="18" t="s">
        <v>980</v>
      </c>
    </row>
    <row r="206" customFormat="false" ht="15" hidden="false" customHeight="true" outlineLevel="0" collapsed="false">
      <c r="A206" s="5" t="n">
        <v>205</v>
      </c>
      <c r="B206" s="6" t="s">
        <v>172</v>
      </c>
      <c r="C206" s="5" t="s">
        <v>173</v>
      </c>
      <c r="D206" s="5" t="s">
        <v>174</v>
      </c>
      <c r="E206" s="5" t="s">
        <v>175</v>
      </c>
      <c r="F206" s="5" t="s">
        <v>17</v>
      </c>
      <c r="G206" s="5" t="s">
        <v>176</v>
      </c>
      <c r="H206" s="8" t="s">
        <v>28</v>
      </c>
      <c r="I206" s="5" t="s">
        <v>1317</v>
      </c>
      <c r="J206" s="5" t="s">
        <v>1316</v>
      </c>
      <c r="K206" s="5"/>
      <c r="L206" s="5" t="s">
        <v>1462</v>
      </c>
      <c r="M206" s="5"/>
      <c r="N206" s="17" t="s">
        <v>13</v>
      </c>
    </row>
    <row r="207" customFormat="false" ht="15" hidden="false" customHeight="true" outlineLevel="0" collapsed="false">
      <c r="A207" s="5" t="n">
        <v>206</v>
      </c>
      <c r="B207" s="6" t="s">
        <v>177</v>
      </c>
      <c r="C207" s="5" t="s">
        <v>178</v>
      </c>
      <c r="D207" s="5" t="s">
        <v>179</v>
      </c>
      <c r="E207" s="5" t="s">
        <v>180</v>
      </c>
      <c r="F207" s="5" t="s">
        <v>17</v>
      </c>
      <c r="G207" s="5" t="s">
        <v>134</v>
      </c>
      <c r="H207" s="10" t="s">
        <v>56</v>
      </c>
      <c r="I207" s="5" t="s">
        <v>1348</v>
      </c>
      <c r="J207" s="5" t="s">
        <v>1338</v>
      </c>
      <c r="K207" s="5"/>
      <c r="L207" s="5" t="s">
        <v>1463</v>
      </c>
      <c r="M207" s="5"/>
      <c r="N207" s="17" t="s">
        <v>13</v>
      </c>
    </row>
    <row r="208" customFormat="false" ht="15" hidden="false" customHeight="true" outlineLevel="0" collapsed="false">
      <c r="A208" s="5" t="n">
        <v>207</v>
      </c>
      <c r="B208" s="6" t="s">
        <v>1065</v>
      </c>
      <c r="C208" s="5"/>
      <c r="D208" s="5" t="s">
        <v>1066</v>
      </c>
      <c r="E208" s="5" t="s">
        <v>395</v>
      </c>
      <c r="F208" s="5" t="s">
        <v>109</v>
      </c>
      <c r="G208" s="5" t="s">
        <v>1067</v>
      </c>
      <c r="H208" s="8" t="s">
        <v>28</v>
      </c>
      <c r="I208" s="5" t="s">
        <v>1348</v>
      </c>
      <c r="J208" s="5" t="s">
        <v>1316</v>
      </c>
      <c r="K208" s="5"/>
      <c r="L208" s="5" t="s">
        <v>1464</v>
      </c>
      <c r="M208" s="5"/>
      <c r="N208" s="18" t="s">
        <v>980</v>
      </c>
    </row>
    <row r="209" customFormat="false" ht="15" hidden="false" customHeight="true" outlineLevel="0" collapsed="false">
      <c r="A209" s="5" t="n">
        <v>208</v>
      </c>
      <c r="B209" s="6" t="s">
        <v>1068</v>
      </c>
      <c r="C209" s="5"/>
      <c r="D209" s="5" t="s">
        <v>1069</v>
      </c>
      <c r="E209" s="5" t="s">
        <v>854</v>
      </c>
      <c r="F209" s="5" t="s">
        <v>109</v>
      </c>
      <c r="G209" s="5" t="s">
        <v>1070</v>
      </c>
      <c r="H209" s="7" t="s">
        <v>19</v>
      </c>
      <c r="I209" s="5" t="s">
        <v>1317</v>
      </c>
      <c r="J209" s="5" t="s">
        <v>1316</v>
      </c>
      <c r="K209" s="5"/>
      <c r="L209" s="5"/>
      <c r="M209" s="5"/>
      <c r="N209" s="18" t="s">
        <v>980</v>
      </c>
    </row>
    <row r="210" customFormat="false" ht="15" hidden="false" customHeight="true" outlineLevel="0" collapsed="false">
      <c r="A210" s="5" t="n">
        <v>209</v>
      </c>
      <c r="B210" s="6" t="s">
        <v>384</v>
      </c>
      <c r="C210" s="5" t="s">
        <v>385</v>
      </c>
      <c r="D210" s="5" t="s">
        <v>209</v>
      </c>
      <c r="E210" s="5" t="s">
        <v>386</v>
      </c>
      <c r="F210" s="5" t="s">
        <v>17</v>
      </c>
      <c r="G210" s="5" t="s">
        <v>146</v>
      </c>
      <c r="H210" s="8" t="s">
        <v>28</v>
      </c>
      <c r="I210" s="5" t="s">
        <v>1317</v>
      </c>
      <c r="J210" s="5" t="s">
        <v>1316</v>
      </c>
      <c r="K210" s="5"/>
      <c r="L210" s="5" t="s">
        <v>1465</v>
      </c>
      <c r="M210" s="5"/>
      <c r="N210" s="19" t="s">
        <v>258</v>
      </c>
    </row>
    <row r="211" customFormat="false" ht="15" hidden="false" customHeight="true" outlineLevel="0" collapsed="false">
      <c r="A211" s="5" t="n">
        <v>210</v>
      </c>
      <c r="B211" s="6" t="s">
        <v>902</v>
      </c>
      <c r="C211" s="5" t="s">
        <v>903</v>
      </c>
      <c r="D211" s="5" t="s">
        <v>904</v>
      </c>
      <c r="E211" s="5" t="s">
        <v>905</v>
      </c>
      <c r="F211" s="5" t="s">
        <v>17</v>
      </c>
      <c r="G211" s="5" t="s">
        <v>146</v>
      </c>
      <c r="H211" s="10" t="s">
        <v>56</v>
      </c>
      <c r="I211" s="5" t="s">
        <v>1317</v>
      </c>
      <c r="J211" s="5" t="s">
        <v>1316</v>
      </c>
      <c r="K211" s="5"/>
      <c r="L211" s="5" t="s">
        <v>1466</v>
      </c>
      <c r="M211" s="5"/>
      <c r="N211" s="23" t="s">
        <v>810</v>
      </c>
    </row>
    <row r="212" customFormat="false" ht="15" hidden="false" customHeight="true" outlineLevel="0" collapsed="false">
      <c r="A212" s="5" t="n">
        <v>211</v>
      </c>
      <c r="B212" s="6" t="s">
        <v>387</v>
      </c>
      <c r="C212" s="5" t="s">
        <v>388</v>
      </c>
      <c r="D212" s="5" t="s">
        <v>389</v>
      </c>
      <c r="E212" s="5" t="s">
        <v>390</v>
      </c>
      <c r="F212" s="5" t="s">
        <v>17</v>
      </c>
      <c r="G212" s="5" t="s">
        <v>391</v>
      </c>
      <c r="H212" s="8" t="s">
        <v>28</v>
      </c>
      <c r="I212" s="5" t="s">
        <v>1317</v>
      </c>
      <c r="J212" s="5" t="s">
        <v>1316</v>
      </c>
      <c r="K212" s="5"/>
      <c r="L212" s="5"/>
      <c r="M212" s="5"/>
      <c r="N212" s="19" t="s">
        <v>258</v>
      </c>
    </row>
    <row r="213" customFormat="false" ht="23.25" hidden="false" customHeight="true" outlineLevel="0" collapsed="false">
      <c r="A213" s="5" t="n">
        <v>212</v>
      </c>
      <c r="B213" s="6" t="s">
        <v>392</v>
      </c>
      <c r="C213" s="5" t="s">
        <v>393</v>
      </c>
      <c r="D213" s="5" t="s">
        <v>394</v>
      </c>
      <c r="E213" s="5" t="s">
        <v>395</v>
      </c>
      <c r="F213" s="5" t="s">
        <v>17</v>
      </c>
      <c r="G213" s="5" t="s">
        <v>252</v>
      </c>
      <c r="H213" s="9" t="s">
        <v>35</v>
      </c>
      <c r="I213" s="5" t="s">
        <v>1317</v>
      </c>
      <c r="J213" s="5" t="s">
        <v>1316</v>
      </c>
      <c r="K213" s="5" t="s">
        <v>1467</v>
      </c>
      <c r="L213" s="5"/>
      <c r="M213" s="5"/>
      <c r="N213" s="19" t="s">
        <v>258</v>
      </c>
    </row>
    <row r="214" customFormat="false" ht="15" hidden="false" customHeight="true" outlineLevel="0" collapsed="false">
      <c r="A214" s="5" t="n">
        <v>213</v>
      </c>
      <c r="B214" s="6" t="s">
        <v>1071</v>
      </c>
      <c r="C214" s="5"/>
      <c r="D214" s="5" t="s">
        <v>1072</v>
      </c>
      <c r="E214" s="5" t="s">
        <v>118</v>
      </c>
      <c r="F214" s="5" t="s">
        <v>33</v>
      </c>
      <c r="G214" s="5" t="s">
        <v>1073</v>
      </c>
      <c r="H214" s="9" t="s">
        <v>35</v>
      </c>
      <c r="I214" s="5" t="s">
        <v>1317</v>
      </c>
      <c r="J214" s="5" t="s">
        <v>1316</v>
      </c>
      <c r="K214" s="5"/>
      <c r="L214" s="5" t="s">
        <v>1468</v>
      </c>
      <c r="M214" s="5"/>
      <c r="N214" s="18" t="s">
        <v>980</v>
      </c>
    </row>
    <row r="215" customFormat="false" ht="15" hidden="false" customHeight="true" outlineLevel="0" collapsed="false">
      <c r="A215" s="5" t="n">
        <v>214</v>
      </c>
      <c r="B215" s="6" t="s">
        <v>731</v>
      </c>
      <c r="C215" s="5" t="s">
        <v>732</v>
      </c>
      <c r="D215" s="5" t="s">
        <v>496</v>
      </c>
      <c r="E215" s="5" t="s">
        <v>390</v>
      </c>
      <c r="F215" s="5" t="s">
        <v>33</v>
      </c>
      <c r="G215" s="5" t="s">
        <v>733</v>
      </c>
      <c r="H215" s="9" t="s">
        <v>35</v>
      </c>
      <c r="I215" s="5" t="s">
        <v>1356</v>
      </c>
      <c r="J215" s="5" t="s">
        <v>1316</v>
      </c>
      <c r="K215" s="5"/>
      <c r="L215" s="5"/>
      <c r="M215" s="5"/>
      <c r="N215" s="20" t="s">
        <v>657</v>
      </c>
    </row>
    <row r="216" customFormat="false" ht="23.25" hidden="false" customHeight="true" outlineLevel="0" collapsed="false">
      <c r="A216" s="5" t="n">
        <v>215</v>
      </c>
      <c r="B216" s="6" t="s">
        <v>906</v>
      </c>
      <c r="C216" s="5" t="s">
        <v>907</v>
      </c>
      <c r="D216" s="5" t="s">
        <v>908</v>
      </c>
      <c r="E216" s="5" t="s">
        <v>909</v>
      </c>
      <c r="F216" s="5" t="s">
        <v>910</v>
      </c>
      <c r="G216" s="5" t="s">
        <v>911</v>
      </c>
      <c r="H216" s="9" t="s">
        <v>35</v>
      </c>
      <c r="I216" s="5" t="s">
        <v>1469</v>
      </c>
      <c r="J216" s="5" t="s">
        <v>1470</v>
      </c>
      <c r="K216" s="5"/>
      <c r="L216" s="5"/>
      <c r="M216" s="5"/>
      <c r="N216" s="23" t="s">
        <v>810</v>
      </c>
    </row>
    <row r="217" customFormat="false" ht="15" hidden="false" customHeight="true" outlineLevel="0" collapsed="false">
      <c r="A217" s="5" t="n">
        <v>216</v>
      </c>
      <c r="B217" s="6" t="s">
        <v>396</v>
      </c>
      <c r="C217" s="5" t="s">
        <v>397</v>
      </c>
      <c r="D217" s="5" t="s">
        <v>398</v>
      </c>
      <c r="E217" s="5" t="s">
        <v>102</v>
      </c>
      <c r="F217" s="5" t="s">
        <v>17</v>
      </c>
      <c r="G217" s="5" t="s">
        <v>399</v>
      </c>
      <c r="H217" s="8" t="s">
        <v>28</v>
      </c>
      <c r="I217" s="5" t="s">
        <v>1317</v>
      </c>
      <c r="J217" s="5" t="s">
        <v>1316</v>
      </c>
      <c r="K217" s="5"/>
      <c r="L217" s="5" t="s">
        <v>1471</v>
      </c>
      <c r="M217" s="5"/>
      <c r="N217" s="19" t="s">
        <v>258</v>
      </c>
    </row>
    <row r="218" customFormat="false" ht="15" hidden="false" customHeight="true" outlineLevel="0" collapsed="false">
      <c r="A218" s="5" t="n">
        <v>217</v>
      </c>
      <c r="B218" s="6" t="s">
        <v>181</v>
      </c>
      <c r="C218" s="5" t="s">
        <v>182</v>
      </c>
      <c r="D218" s="5" t="s">
        <v>183</v>
      </c>
      <c r="E218" s="5" t="s">
        <v>184</v>
      </c>
      <c r="F218" s="5" t="s">
        <v>17</v>
      </c>
      <c r="G218" s="5" t="s">
        <v>185</v>
      </c>
      <c r="H218" s="8" t="s">
        <v>28</v>
      </c>
      <c r="I218" s="5" t="s">
        <v>1317</v>
      </c>
      <c r="J218" s="5" t="s">
        <v>1316</v>
      </c>
      <c r="K218" s="5"/>
      <c r="L218" s="5" t="s">
        <v>1472</v>
      </c>
      <c r="M218" s="5"/>
      <c r="N218" s="17" t="s">
        <v>13</v>
      </c>
    </row>
    <row r="219" customFormat="false" ht="23.25" hidden="false" customHeight="true" outlineLevel="0" collapsed="false">
      <c r="A219" s="5" t="n">
        <v>218</v>
      </c>
      <c r="B219" s="6" t="s">
        <v>912</v>
      </c>
      <c r="C219" s="5" t="s">
        <v>913</v>
      </c>
      <c r="D219" s="5" t="s">
        <v>914</v>
      </c>
      <c r="E219" s="5" t="s">
        <v>915</v>
      </c>
      <c r="F219" s="5" t="s">
        <v>916</v>
      </c>
      <c r="G219" s="5" t="s">
        <v>917</v>
      </c>
      <c r="H219" s="10" t="s">
        <v>56</v>
      </c>
      <c r="I219" s="5" t="s">
        <v>1473</v>
      </c>
      <c r="J219" s="5" t="s">
        <v>1474</v>
      </c>
      <c r="K219" s="5"/>
      <c r="L219" s="5" t="s">
        <v>1475</v>
      </c>
      <c r="M219" s="5"/>
      <c r="N219" s="23" t="s">
        <v>810</v>
      </c>
    </row>
    <row r="220" customFormat="false" ht="23.25" hidden="false" customHeight="true" outlineLevel="0" collapsed="false">
      <c r="A220" s="5" t="n">
        <v>219</v>
      </c>
      <c r="B220" s="6" t="s">
        <v>1074</v>
      </c>
      <c r="C220" s="5" t="s">
        <v>1075</v>
      </c>
      <c r="D220" s="5" t="s">
        <v>1076</v>
      </c>
      <c r="E220" s="5"/>
      <c r="F220" s="5" t="s">
        <v>916</v>
      </c>
      <c r="G220" s="5" t="s">
        <v>1077</v>
      </c>
      <c r="H220" s="7" t="s">
        <v>19</v>
      </c>
      <c r="I220" s="5"/>
      <c r="J220" s="5" t="s">
        <v>1476</v>
      </c>
      <c r="K220" s="5"/>
      <c r="L220" s="5"/>
      <c r="M220" s="5"/>
      <c r="N220" s="18" t="s">
        <v>980</v>
      </c>
    </row>
    <row r="221" customFormat="false" ht="15" hidden="false" customHeight="true" outlineLevel="0" collapsed="false">
      <c r="A221" s="5" t="n">
        <v>220</v>
      </c>
      <c r="B221" s="6" t="s">
        <v>1078</v>
      </c>
      <c r="C221" s="5" t="s">
        <v>1079</v>
      </c>
      <c r="D221" s="5" t="s">
        <v>1080</v>
      </c>
      <c r="E221" s="5" t="s">
        <v>357</v>
      </c>
      <c r="F221" s="5" t="s">
        <v>109</v>
      </c>
      <c r="G221" s="5" t="s">
        <v>1081</v>
      </c>
      <c r="H221" s="7" t="s">
        <v>19</v>
      </c>
      <c r="I221" s="5" t="s">
        <v>1317</v>
      </c>
      <c r="J221" s="5" t="s">
        <v>1316</v>
      </c>
      <c r="K221" s="5"/>
      <c r="L221" s="5" t="s">
        <v>1477</v>
      </c>
      <c r="M221" s="5"/>
      <c r="N221" s="18" t="s">
        <v>980</v>
      </c>
    </row>
    <row r="222" customFormat="false" ht="15" hidden="false" customHeight="true" outlineLevel="0" collapsed="false">
      <c r="A222" s="5" t="n">
        <v>221</v>
      </c>
      <c r="B222" s="6" t="s">
        <v>400</v>
      </c>
      <c r="C222" s="5" t="s">
        <v>401</v>
      </c>
      <c r="D222" s="5" t="s">
        <v>402</v>
      </c>
      <c r="E222" s="5" t="s">
        <v>403</v>
      </c>
      <c r="F222" s="5" t="s">
        <v>404</v>
      </c>
      <c r="G222" s="5" t="s">
        <v>405</v>
      </c>
      <c r="H222" s="10" t="s">
        <v>56</v>
      </c>
      <c r="I222" s="5" t="s">
        <v>1478</v>
      </c>
      <c r="J222" s="5" t="s">
        <v>1479</v>
      </c>
      <c r="K222" s="5"/>
      <c r="L222" s="5" t="s">
        <v>1480</v>
      </c>
      <c r="M222" s="5"/>
      <c r="N222" s="19" t="s">
        <v>258</v>
      </c>
    </row>
    <row r="223" customFormat="false" ht="15" hidden="false" customHeight="true" outlineLevel="0" collapsed="false">
      <c r="A223" s="5" t="n">
        <v>222</v>
      </c>
      <c r="B223" s="6" t="s">
        <v>186</v>
      </c>
      <c r="C223" s="5" t="s">
        <v>187</v>
      </c>
      <c r="D223" s="5" t="s">
        <v>188</v>
      </c>
      <c r="E223" s="5" t="s">
        <v>189</v>
      </c>
      <c r="F223" s="5" t="s">
        <v>17</v>
      </c>
      <c r="G223" s="5" t="s">
        <v>190</v>
      </c>
      <c r="H223" s="7" t="s">
        <v>19</v>
      </c>
      <c r="I223" s="5" t="s">
        <v>1317</v>
      </c>
      <c r="J223" s="5" t="s">
        <v>1316</v>
      </c>
      <c r="K223" s="5"/>
      <c r="L223" s="5" t="s">
        <v>1481</v>
      </c>
      <c r="M223" s="5"/>
      <c r="N223" s="17" t="s">
        <v>13</v>
      </c>
    </row>
    <row r="224" customFormat="false" ht="15" hidden="false" customHeight="true" outlineLevel="0" collapsed="false">
      <c r="A224" s="5" t="n">
        <v>223</v>
      </c>
      <c r="B224" s="6" t="s">
        <v>734</v>
      </c>
      <c r="C224" s="5"/>
      <c r="D224" s="5" t="s">
        <v>735</v>
      </c>
      <c r="E224" s="5" t="s">
        <v>386</v>
      </c>
      <c r="F224" s="5" t="s">
        <v>97</v>
      </c>
      <c r="G224" s="5" t="s">
        <v>146</v>
      </c>
      <c r="H224" s="9" t="s">
        <v>35</v>
      </c>
      <c r="I224" s="5" t="s">
        <v>1317</v>
      </c>
      <c r="J224" s="5" t="s">
        <v>1316</v>
      </c>
      <c r="K224" s="5"/>
      <c r="L224" s="5"/>
      <c r="M224" s="5"/>
      <c r="N224" s="20" t="s">
        <v>657</v>
      </c>
    </row>
    <row r="225" customFormat="false" ht="15" hidden="false" customHeight="true" outlineLevel="0" collapsed="false">
      <c r="A225" s="5" t="n">
        <v>224</v>
      </c>
      <c r="B225" s="6" t="s">
        <v>573</v>
      </c>
      <c r="C225" s="5" t="s">
        <v>574</v>
      </c>
      <c r="D225" s="5" t="s">
        <v>575</v>
      </c>
      <c r="E225" s="5" t="s">
        <v>165</v>
      </c>
      <c r="F225" s="5" t="s">
        <v>17</v>
      </c>
      <c r="G225" s="5" t="s">
        <v>562</v>
      </c>
      <c r="H225" s="8" t="s">
        <v>28</v>
      </c>
      <c r="I225" s="5" t="s">
        <v>1315</v>
      </c>
      <c r="J225" s="5" t="s">
        <v>1316</v>
      </c>
      <c r="K225" s="5"/>
      <c r="L225" s="5"/>
      <c r="M225" s="5"/>
      <c r="N225" s="22" t="s">
        <v>462</v>
      </c>
    </row>
    <row r="226" customFormat="false" ht="15" hidden="false" customHeight="true" outlineLevel="0" collapsed="false">
      <c r="A226" s="5" t="n">
        <v>225</v>
      </c>
      <c r="B226" s="6" t="s">
        <v>576</v>
      </c>
      <c r="C226" s="5"/>
      <c r="D226" s="5" t="s">
        <v>577</v>
      </c>
      <c r="E226" s="5" t="s">
        <v>26</v>
      </c>
      <c r="F226" s="5" t="s">
        <v>578</v>
      </c>
      <c r="G226" s="5" t="s">
        <v>579</v>
      </c>
      <c r="H226" s="8" t="s">
        <v>28</v>
      </c>
      <c r="I226" s="5" t="s">
        <v>1317</v>
      </c>
      <c r="J226" s="5" t="s">
        <v>1316</v>
      </c>
      <c r="K226" s="5"/>
      <c r="L226" s="5" t="s">
        <v>1482</v>
      </c>
      <c r="M226" s="5"/>
      <c r="N226" s="22" t="s">
        <v>462</v>
      </c>
    </row>
    <row r="227" customFormat="false" ht="15" hidden="false" customHeight="true" outlineLevel="0" collapsed="false">
      <c r="A227" s="5" t="n">
        <v>226</v>
      </c>
      <c r="B227" s="6" t="s">
        <v>576</v>
      </c>
      <c r="C227" s="5"/>
      <c r="D227" s="5" t="s">
        <v>577</v>
      </c>
      <c r="E227" s="5" t="s">
        <v>26</v>
      </c>
      <c r="F227" s="5" t="s">
        <v>578</v>
      </c>
      <c r="G227" s="5" t="s">
        <v>579</v>
      </c>
      <c r="H227" s="8" t="s">
        <v>28</v>
      </c>
      <c r="I227" s="5" t="s">
        <v>1317</v>
      </c>
      <c r="J227" s="5" t="s">
        <v>1316</v>
      </c>
      <c r="K227" s="5"/>
      <c r="L227" s="5" t="s">
        <v>1483</v>
      </c>
      <c r="M227" s="5"/>
      <c r="N227" s="21" t="s">
        <v>1130</v>
      </c>
    </row>
    <row r="228" customFormat="false" ht="15" hidden="false" customHeight="true" outlineLevel="0" collapsed="false">
      <c r="A228" s="5" t="n">
        <v>227</v>
      </c>
      <c r="B228" s="6" t="s">
        <v>736</v>
      </c>
      <c r="C228" s="5"/>
      <c r="D228" s="5" t="s">
        <v>737</v>
      </c>
      <c r="E228" s="5" t="s">
        <v>738</v>
      </c>
      <c r="F228" s="5" t="s">
        <v>195</v>
      </c>
      <c r="G228" s="5" t="s">
        <v>739</v>
      </c>
      <c r="H228" s="9" t="s">
        <v>35</v>
      </c>
      <c r="I228" s="5" t="s">
        <v>1317</v>
      </c>
      <c r="J228" s="5" t="s">
        <v>1316</v>
      </c>
      <c r="K228" s="5" t="s">
        <v>1484</v>
      </c>
      <c r="L228" s="5"/>
      <c r="M228" s="5"/>
      <c r="N228" s="20" t="s">
        <v>657</v>
      </c>
    </row>
    <row r="229" customFormat="false" ht="15" hidden="false" customHeight="true" outlineLevel="0" collapsed="false">
      <c r="A229" s="5" t="n">
        <v>228</v>
      </c>
      <c r="B229" s="6" t="s">
        <v>406</v>
      </c>
      <c r="C229" s="5" t="s">
        <v>407</v>
      </c>
      <c r="D229" s="5" t="s">
        <v>408</v>
      </c>
      <c r="E229" s="5" t="s">
        <v>409</v>
      </c>
      <c r="F229" s="5" t="s">
        <v>17</v>
      </c>
      <c r="G229" s="5" t="s">
        <v>391</v>
      </c>
      <c r="H229" s="10" t="s">
        <v>56</v>
      </c>
      <c r="I229" s="5" t="s">
        <v>1348</v>
      </c>
      <c r="J229" s="5" t="s">
        <v>1338</v>
      </c>
      <c r="K229" s="5"/>
      <c r="L229" s="5"/>
      <c r="M229" s="5"/>
      <c r="N229" s="19" t="s">
        <v>258</v>
      </c>
    </row>
    <row r="230" customFormat="false" ht="15" hidden="false" customHeight="true" outlineLevel="0" collapsed="false">
      <c r="A230" s="5" t="n">
        <v>229</v>
      </c>
      <c r="B230" s="6" t="s">
        <v>918</v>
      </c>
      <c r="C230" s="5"/>
      <c r="D230" s="5" t="s">
        <v>919</v>
      </c>
      <c r="E230" s="5" t="s">
        <v>347</v>
      </c>
      <c r="F230" s="5" t="s">
        <v>17</v>
      </c>
      <c r="G230" s="5" t="s">
        <v>920</v>
      </c>
      <c r="H230" s="7" t="s">
        <v>19</v>
      </c>
      <c r="I230" s="5" t="s">
        <v>1485</v>
      </c>
      <c r="J230" s="5" t="s">
        <v>1316</v>
      </c>
      <c r="K230" s="5"/>
      <c r="L230" s="5"/>
      <c r="M230" s="5"/>
      <c r="N230" s="23" t="s">
        <v>810</v>
      </c>
    </row>
    <row r="231" customFormat="false" ht="15" hidden="false" customHeight="true" outlineLevel="0" collapsed="false">
      <c r="A231" s="5" t="n">
        <v>230</v>
      </c>
      <c r="B231" s="6" t="s">
        <v>410</v>
      </c>
      <c r="C231" s="5" t="s">
        <v>411</v>
      </c>
      <c r="D231" s="5" t="s">
        <v>315</v>
      </c>
      <c r="E231" s="5" t="s">
        <v>81</v>
      </c>
      <c r="F231" s="5" t="s">
        <v>97</v>
      </c>
      <c r="G231" s="5" t="s">
        <v>412</v>
      </c>
      <c r="H231" s="10" t="s">
        <v>56</v>
      </c>
      <c r="I231" s="5" t="s">
        <v>1317</v>
      </c>
      <c r="J231" s="5" t="s">
        <v>1316</v>
      </c>
      <c r="K231" s="5" t="s">
        <v>1486</v>
      </c>
      <c r="L231" s="5" t="s">
        <v>1487</v>
      </c>
      <c r="M231" s="5"/>
      <c r="N231" s="19" t="s">
        <v>258</v>
      </c>
    </row>
    <row r="232" customFormat="false" ht="23.25" hidden="false" customHeight="true" outlineLevel="0" collapsed="false">
      <c r="A232" s="5" t="n">
        <v>231</v>
      </c>
      <c r="B232" s="6" t="s">
        <v>580</v>
      </c>
      <c r="C232" s="5" t="s">
        <v>581</v>
      </c>
      <c r="D232" s="5" t="s">
        <v>582</v>
      </c>
      <c r="E232" s="5" t="s">
        <v>357</v>
      </c>
      <c r="F232" s="5" t="s">
        <v>17</v>
      </c>
      <c r="G232" s="5" t="s">
        <v>583</v>
      </c>
      <c r="H232" s="9" t="s">
        <v>35</v>
      </c>
      <c r="I232" s="5" t="s">
        <v>1315</v>
      </c>
      <c r="J232" s="5" t="s">
        <v>1316</v>
      </c>
      <c r="K232" s="5" t="s">
        <v>1488</v>
      </c>
      <c r="L232" s="5"/>
      <c r="M232" s="5"/>
      <c r="N232" s="22" t="s">
        <v>462</v>
      </c>
    </row>
    <row r="233" customFormat="false" ht="15" hidden="false" customHeight="true" outlineLevel="0" collapsed="false">
      <c r="A233" s="5" t="n">
        <v>232</v>
      </c>
      <c r="B233" s="6" t="s">
        <v>1083</v>
      </c>
      <c r="C233" s="5" t="s">
        <v>1084</v>
      </c>
      <c r="D233" s="5" t="s">
        <v>1085</v>
      </c>
      <c r="E233" s="5" t="s">
        <v>357</v>
      </c>
      <c r="F233" s="5" t="s">
        <v>17</v>
      </c>
      <c r="G233" s="5" t="s">
        <v>1039</v>
      </c>
      <c r="H233" s="10" t="s">
        <v>56</v>
      </c>
      <c r="I233" s="5" t="s">
        <v>1317</v>
      </c>
      <c r="J233" s="5" t="s">
        <v>1316</v>
      </c>
      <c r="K233" s="5"/>
      <c r="L233" s="5"/>
      <c r="M233" s="5"/>
      <c r="N233" s="18" t="s">
        <v>980</v>
      </c>
    </row>
    <row r="234" customFormat="false" ht="15" hidden="false" customHeight="true" outlineLevel="0" collapsed="false">
      <c r="A234" s="5" t="n">
        <v>233</v>
      </c>
      <c r="B234" s="6" t="s">
        <v>921</v>
      </c>
      <c r="C234" s="5" t="s">
        <v>922</v>
      </c>
      <c r="D234" s="5" t="s">
        <v>923</v>
      </c>
      <c r="E234" s="5" t="s">
        <v>357</v>
      </c>
      <c r="F234" s="5" t="s">
        <v>109</v>
      </c>
      <c r="G234" s="5" t="s">
        <v>924</v>
      </c>
      <c r="H234" s="8" t="s">
        <v>28</v>
      </c>
      <c r="I234" s="5" t="s">
        <v>1317</v>
      </c>
      <c r="J234" s="5" t="s">
        <v>1316</v>
      </c>
      <c r="K234" s="5" t="s">
        <v>1489</v>
      </c>
      <c r="L234" s="5" t="s">
        <v>1490</v>
      </c>
      <c r="M234" s="5"/>
      <c r="N234" s="23" t="s">
        <v>810</v>
      </c>
    </row>
    <row r="235" customFormat="false" ht="34.5" hidden="false" customHeight="true" outlineLevel="0" collapsed="false">
      <c r="A235" s="5" t="n">
        <v>234</v>
      </c>
      <c r="B235" s="6" t="s">
        <v>1086</v>
      </c>
      <c r="C235" s="5"/>
      <c r="D235" s="5" t="s">
        <v>1087</v>
      </c>
      <c r="E235" s="5" t="s">
        <v>304</v>
      </c>
      <c r="F235" s="5" t="s">
        <v>139</v>
      </c>
      <c r="G235" s="5" t="s">
        <v>1029</v>
      </c>
      <c r="H235" s="8" t="s">
        <v>28</v>
      </c>
      <c r="I235" s="5" t="s">
        <v>1317</v>
      </c>
      <c r="J235" s="5" t="s">
        <v>1316</v>
      </c>
      <c r="K235" s="5"/>
      <c r="L235" s="5" t="s">
        <v>1491</v>
      </c>
      <c r="M235" s="5"/>
      <c r="N235" s="18" t="s">
        <v>980</v>
      </c>
    </row>
    <row r="236" customFormat="false" ht="23.25" hidden="false" customHeight="true" outlineLevel="0" collapsed="false">
      <c r="A236" s="5" t="n">
        <v>235</v>
      </c>
      <c r="B236" s="6" t="s">
        <v>191</v>
      </c>
      <c r="C236" s="5" t="s">
        <v>192</v>
      </c>
      <c r="D236" s="5" t="s">
        <v>193</v>
      </c>
      <c r="E236" s="5" t="s">
        <v>194</v>
      </c>
      <c r="F236" s="5" t="s">
        <v>195</v>
      </c>
      <c r="G236" s="5" t="s">
        <v>196</v>
      </c>
      <c r="H236" s="10" t="s">
        <v>56</v>
      </c>
      <c r="I236" s="5" t="s">
        <v>1398</v>
      </c>
      <c r="J236" s="5" t="s">
        <v>1399</v>
      </c>
      <c r="K236" s="5"/>
      <c r="L236" s="5" t="s">
        <v>1492</v>
      </c>
      <c r="M236" s="5"/>
      <c r="N236" s="17" t="s">
        <v>13</v>
      </c>
    </row>
    <row r="237" customFormat="false" ht="15" hidden="false" customHeight="true" outlineLevel="0" collapsed="false">
      <c r="A237" s="5" t="n">
        <v>236</v>
      </c>
      <c r="B237" s="6" t="s">
        <v>1088</v>
      </c>
      <c r="C237" s="5" t="s">
        <v>1089</v>
      </c>
      <c r="D237" s="5" t="s">
        <v>1090</v>
      </c>
      <c r="E237" s="5" t="s">
        <v>295</v>
      </c>
      <c r="F237" s="5" t="s">
        <v>17</v>
      </c>
      <c r="G237" s="5" t="s">
        <v>1091</v>
      </c>
      <c r="H237" s="8" t="s">
        <v>28</v>
      </c>
      <c r="I237" s="5" t="s">
        <v>1317</v>
      </c>
      <c r="J237" s="5" t="s">
        <v>1316</v>
      </c>
      <c r="K237" s="5"/>
      <c r="L237" s="5"/>
      <c r="M237" s="5"/>
      <c r="N237" s="18" t="s">
        <v>980</v>
      </c>
    </row>
    <row r="238" customFormat="false" ht="15" hidden="false" customHeight="true" outlineLevel="0" collapsed="false">
      <c r="A238" s="5" t="n">
        <v>237</v>
      </c>
      <c r="B238" s="6" t="s">
        <v>740</v>
      </c>
      <c r="C238" s="5" t="s">
        <v>741</v>
      </c>
      <c r="D238" s="5" t="s">
        <v>742</v>
      </c>
      <c r="E238" s="5" t="s">
        <v>743</v>
      </c>
      <c r="F238" s="5" t="s">
        <v>109</v>
      </c>
      <c r="G238" s="5" t="s">
        <v>744</v>
      </c>
      <c r="H238" s="8" t="s">
        <v>28</v>
      </c>
      <c r="I238" s="5" t="s">
        <v>1317</v>
      </c>
      <c r="J238" s="5" t="s">
        <v>1316</v>
      </c>
      <c r="K238" s="5"/>
      <c r="L238" s="5"/>
      <c r="M238" s="5"/>
      <c r="N238" s="20" t="s">
        <v>657</v>
      </c>
    </row>
    <row r="239" customFormat="false" ht="15" hidden="false" customHeight="true" outlineLevel="0" collapsed="false">
      <c r="A239" s="5" t="n">
        <v>238</v>
      </c>
      <c r="B239" s="6" t="s">
        <v>1244</v>
      </c>
      <c r="C239" s="5"/>
      <c r="D239" s="5" t="s">
        <v>1136</v>
      </c>
      <c r="E239" s="5" t="s">
        <v>50</v>
      </c>
      <c r="F239" s="5" t="s">
        <v>1100</v>
      </c>
      <c r="G239" s="5" t="s">
        <v>1137</v>
      </c>
      <c r="H239" s="9" t="s">
        <v>35</v>
      </c>
      <c r="I239" s="5" t="s">
        <v>1317</v>
      </c>
      <c r="J239" s="5" t="s">
        <v>1316</v>
      </c>
      <c r="K239" s="5"/>
      <c r="L239" s="5" t="s">
        <v>1493</v>
      </c>
      <c r="M239" s="5"/>
      <c r="N239" s="21" t="s">
        <v>1130</v>
      </c>
    </row>
    <row r="240" customFormat="false" ht="15" hidden="false" customHeight="true" outlineLevel="0" collapsed="false">
      <c r="A240" s="5" t="n">
        <v>239</v>
      </c>
      <c r="B240" s="6" t="s">
        <v>413</v>
      </c>
      <c r="C240" s="5" t="s">
        <v>414</v>
      </c>
      <c r="D240" s="5" t="s">
        <v>415</v>
      </c>
      <c r="E240" s="5" t="s">
        <v>118</v>
      </c>
      <c r="F240" s="5" t="s">
        <v>17</v>
      </c>
      <c r="G240" s="5" t="s">
        <v>416</v>
      </c>
      <c r="H240" s="9" t="s">
        <v>35</v>
      </c>
      <c r="I240" s="5" t="s">
        <v>1315</v>
      </c>
      <c r="J240" s="5" t="s">
        <v>1316</v>
      </c>
      <c r="K240" s="5"/>
      <c r="L240" s="5" t="s">
        <v>1494</v>
      </c>
      <c r="M240" s="5"/>
      <c r="N240" s="19" t="s">
        <v>258</v>
      </c>
    </row>
    <row r="241" customFormat="false" ht="23.25" hidden="false" customHeight="true" outlineLevel="0" collapsed="false">
      <c r="A241" s="5" t="n">
        <v>240</v>
      </c>
      <c r="B241" s="6" t="s">
        <v>1092</v>
      </c>
      <c r="C241" s="5" t="s">
        <v>1093</v>
      </c>
      <c r="D241" s="5" t="s">
        <v>1094</v>
      </c>
      <c r="E241" s="5" t="s">
        <v>357</v>
      </c>
      <c r="F241" s="5" t="s">
        <v>17</v>
      </c>
      <c r="G241" s="5" t="s">
        <v>1095</v>
      </c>
      <c r="H241" s="8" t="s">
        <v>28</v>
      </c>
      <c r="I241" s="5" t="s">
        <v>1317</v>
      </c>
      <c r="J241" s="5" t="s">
        <v>1316</v>
      </c>
      <c r="K241" s="5"/>
      <c r="L241" s="5"/>
      <c r="M241" s="5"/>
      <c r="N241" s="18" t="s">
        <v>980</v>
      </c>
    </row>
    <row r="242" customFormat="false" ht="15" hidden="false" customHeight="true" outlineLevel="0" collapsed="false">
      <c r="A242" s="5" t="n">
        <v>241</v>
      </c>
      <c r="B242" s="6" t="s">
        <v>745</v>
      </c>
      <c r="C242" s="5" t="s">
        <v>746</v>
      </c>
      <c r="D242" s="5" t="s">
        <v>747</v>
      </c>
      <c r="E242" s="5" t="s">
        <v>357</v>
      </c>
      <c r="F242" s="5" t="s">
        <v>17</v>
      </c>
      <c r="G242" s="5" t="s">
        <v>190</v>
      </c>
      <c r="H242" s="8" t="s">
        <v>28</v>
      </c>
      <c r="I242" s="5" t="s">
        <v>1317</v>
      </c>
      <c r="J242" s="5" t="s">
        <v>1316</v>
      </c>
      <c r="K242" s="5"/>
      <c r="L242" s="5"/>
      <c r="M242" s="5"/>
      <c r="N242" s="20" t="s">
        <v>657</v>
      </c>
    </row>
    <row r="243" customFormat="false" ht="15" hidden="false" customHeight="true" outlineLevel="0" collapsed="false">
      <c r="A243" s="5" t="n">
        <v>242</v>
      </c>
      <c r="B243" s="6" t="s">
        <v>748</v>
      </c>
      <c r="C243" s="5" t="s">
        <v>749</v>
      </c>
      <c r="D243" s="5" t="s">
        <v>750</v>
      </c>
      <c r="E243" s="5" t="s">
        <v>291</v>
      </c>
      <c r="F243" s="5" t="s">
        <v>17</v>
      </c>
      <c r="G243" s="5" t="s">
        <v>751</v>
      </c>
      <c r="H243" s="9" t="s">
        <v>35</v>
      </c>
      <c r="I243" s="5" t="s">
        <v>1495</v>
      </c>
      <c r="J243" s="5" t="s">
        <v>1316</v>
      </c>
      <c r="K243" s="5"/>
      <c r="L243" s="5"/>
      <c r="M243" s="5"/>
      <c r="N243" s="20" t="s">
        <v>657</v>
      </c>
    </row>
    <row r="244" customFormat="false" ht="23.25" hidden="false" customHeight="true" outlineLevel="0" collapsed="false">
      <c r="A244" s="5" t="n">
        <v>243</v>
      </c>
      <c r="B244" s="6" t="s">
        <v>925</v>
      </c>
      <c r="C244" s="5" t="s">
        <v>926</v>
      </c>
      <c r="D244" s="5" t="s">
        <v>927</v>
      </c>
      <c r="E244" s="5" t="s">
        <v>378</v>
      </c>
      <c r="F244" s="5" t="s">
        <v>33</v>
      </c>
      <c r="G244" s="5" t="s">
        <v>928</v>
      </c>
      <c r="H244" s="7" t="s">
        <v>19</v>
      </c>
      <c r="I244" s="5" t="s">
        <v>1317</v>
      </c>
      <c r="J244" s="5" t="s">
        <v>1316</v>
      </c>
      <c r="K244" s="5" t="s">
        <v>1496</v>
      </c>
      <c r="L244" s="5"/>
      <c r="M244" s="5"/>
      <c r="N244" s="23" t="s">
        <v>810</v>
      </c>
    </row>
    <row r="245" customFormat="false" ht="15" hidden="false" customHeight="true" outlineLevel="0" collapsed="false">
      <c r="A245" s="5" t="n">
        <v>244</v>
      </c>
      <c r="B245" s="6" t="s">
        <v>198</v>
      </c>
      <c r="C245" s="5" t="s">
        <v>199</v>
      </c>
      <c r="D245" s="5" t="s">
        <v>200</v>
      </c>
      <c r="E245" s="5" t="s">
        <v>201</v>
      </c>
      <c r="F245" s="5" t="s">
        <v>17</v>
      </c>
      <c r="G245" s="5" t="s">
        <v>202</v>
      </c>
      <c r="H245" s="8" t="s">
        <v>28</v>
      </c>
      <c r="I245" s="5" t="s">
        <v>1473</v>
      </c>
      <c r="J245" s="5" t="s">
        <v>1316</v>
      </c>
      <c r="K245" s="5" t="s">
        <v>1497</v>
      </c>
      <c r="L245" s="5" t="s">
        <v>1498</v>
      </c>
      <c r="M245" s="5"/>
      <c r="N245" s="17" t="s">
        <v>13</v>
      </c>
    </row>
    <row r="246" customFormat="false" ht="15" hidden="false" customHeight="true" outlineLevel="0" collapsed="false">
      <c r="A246" s="5" t="n">
        <v>245</v>
      </c>
      <c r="B246" s="6" t="s">
        <v>584</v>
      </c>
      <c r="C246" s="5" t="s">
        <v>585</v>
      </c>
      <c r="D246" s="5" t="s">
        <v>586</v>
      </c>
      <c r="E246" s="5" t="s">
        <v>170</v>
      </c>
      <c r="F246" s="5" t="s">
        <v>17</v>
      </c>
      <c r="G246" s="5" t="s">
        <v>587</v>
      </c>
      <c r="H246" s="9" t="s">
        <v>35</v>
      </c>
      <c r="I246" s="5" t="s">
        <v>1317</v>
      </c>
      <c r="J246" s="5" t="s">
        <v>1316</v>
      </c>
      <c r="K246" s="5"/>
      <c r="L246" s="5"/>
      <c r="M246" s="5"/>
      <c r="N246" s="22" t="s">
        <v>462</v>
      </c>
    </row>
    <row r="247" customFormat="false" ht="15" hidden="false" customHeight="true" outlineLevel="0" collapsed="false">
      <c r="A247" s="5" t="n">
        <v>246</v>
      </c>
      <c r="B247" s="6" t="s">
        <v>588</v>
      </c>
      <c r="C247" s="5" t="s">
        <v>589</v>
      </c>
      <c r="D247" s="5" t="s">
        <v>590</v>
      </c>
      <c r="E247" s="5" t="s">
        <v>228</v>
      </c>
      <c r="F247" s="5" t="s">
        <v>17</v>
      </c>
      <c r="G247" s="5" t="s">
        <v>134</v>
      </c>
      <c r="H247" s="8" t="s">
        <v>28</v>
      </c>
      <c r="I247" s="5" t="s">
        <v>1315</v>
      </c>
      <c r="J247" s="5" t="s">
        <v>1316</v>
      </c>
      <c r="K247" s="5"/>
      <c r="L247" s="5" t="s">
        <v>1499</v>
      </c>
      <c r="M247" s="5"/>
      <c r="N247" s="22" t="s">
        <v>462</v>
      </c>
    </row>
    <row r="248" customFormat="false" ht="15" hidden="false" customHeight="true" outlineLevel="0" collapsed="false">
      <c r="A248" s="5" t="n">
        <v>247</v>
      </c>
      <c r="B248" s="6" t="s">
        <v>752</v>
      </c>
      <c r="C248" s="5" t="s">
        <v>753</v>
      </c>
      <c r="D248" s="5" t="s">
        <v>754</v>
      </c>
      <c r="E248" s="5" t="s">
        <v>184</v>
      </c>
      <c r="F248" s="5" t="s">
        <v>17</v>
      </c>
      <c r="G248" s="5" t="s">
        <v>755</v>
      </c>
      <c r="H248" s="8" t="s">
        <v>28</v>
      </c>
      <c r="I248" s="5" t="s">
        <v>1317</v>
      </c>
      <c r="J248" s="5" t="s">
        <v>1316</v>
      </c>
      <c r="K248" s="5"/>
      <c r="L248" s="5"/>
      <c r="M248" s="5"/>
      <c r="N248" s="20" t="s">
        <v>657</v>
      </c>
    </row>
    <row r="249" customFormat="false" ht="15" hidden="false" customHeight="true" outlineLevel="0" collapsed="false">
      <c r="A249" s="5" t="n">
        <v>248</v>
      </c>
      <c r="B249" s="6" t="s">
        <v>203</v>
      </c>
      <c r="C249" s="5" t="s">
        <v>204</v>
      </c>
      <c r="D249" s="5" t="s">
        <v>144</v>
      </c>
      <c r="E249" s="5" t="s">
        <v>205</v>
      </c>
      <c r="F249" s="5" t="s">
        <v>17</v>
      </c>
      <c r="G249" s="5" t="s">
        <v>206</v>
      </c>
      <c r="H249" s="8" t="s">
        <v>28</v>
      </c>
      <c r="I249" s="5" t="s">
        <v>1317</v>
      </c>
      <c r="J249" s="5" t="s">
        <v>1316</v>
      </c>
      <c r="K249" s="5" t="s">
        <v>1500</v>
      </c>
      <c r="L249" s="5"/>
      <c r="M249" s="5"/>
      <c r="N249" s="17" t="s">
        <v>13</v>
      </c>
    </row>
    <row r="250" customFormat="false" ht="15" hidden="false" customHeight="true" outlineLevel="0" collapsed="false">
      <c r="A250" s="5" t="n">
        <v>249</v>
      </c>
      <c r="B250" s="6" t="s">
        <v>207</v>
      </c>
      <c r="C250" s="5" t="s">
        <v>208</v>
      </c>
      <c r="D250" s="5" t="s">
        <v>209</v>
      </c>
      <c r="E250" s="5" t="s">
        <v>133</v>
      </c>
      <c r="F250" s="5" t="s">
        <v>17</v>
      </c>
      <c r="G250" s="5" t="s">
        <v>210</v>
      </c>
      <c r="H250" s="8" t="s">
        <v>28</v>
      </c>
      <c r="I250" s="5" t="s">
        <v>1317</v>
      </c>
      <c r="J250" s="5" t="s">
        <v>1316</v>
      </c>
      <c r="K250" s="5"/>
      <c r="L250" s="5"/>
      <c r="M250" s="5"/>
      <c r="N250" s="17" t="s">
        <v>13</v>
      </c>
    </row>
    <row r="251" customFormat="false" ht="15" hidden="false" customHeight="true" outlineLevel="0" collapsed="false">
      <c r="A251" s="5" t="n">
        <v>250</v>
      </c>
      <c r="B251" s="6" t="s">
        <v>591</v>
      </c>
      <c r="C251" s="5" t="s">
        <v>592</v>
      </c>
      <c r="D251" s="5" t="s">
        <v>593</v>
      </c>
      <c r="E251" s="5" t="s">
        <v>184</v>
      </c>
      <c r="F251" s="5" t="s">
        <v>17</v>
      </c>
      <c r="G251" s="5" t="s">
        <v>594</v>
      </c>
      <c r="H251" s="8" t="s">
        <v>28</v>
      </c>
      <c r="I251" s="5" t="s">
        <v>1317</v>
      </c>
      <c r="J251" s="5" t="s">
        <v>1316</v>
      </c>
      <c r="K251" s="5"/>
      <c r="L251" s="5" t="s">
        <v>1501</v>
      </c>
      <c r="M251" s="5"/>
      <c r="N251" s="22" t="s">
        <v>462</v>
      </c>
    </row>
    <row r="252" customFormat="false" ht="23.25" hidden="false" customHeight="true" outlineLevel="0" collapsed="false">
      <c r="A252" s="5" t="n">
        <v>251</v>
      </c>
      <c r="B252" s="6" t="s">
        <v>1096</v>
      </c>
      <c r="C252" s="5" t="s">
        <v>1097</v>
      </c>
      <c r="D252" s="5" t="s">
        <v>1098</v>
      </c>
      <c r="E252" s="5" t="s">
        <v>1099</v>
      </c>
      <c r="F252" s="5" t="s">
        <v>1100</v>
      </c>
      <c r="G252" s="5" t="s">
        <v>1100</v>
      </c>
      <c r="H252" s="7" t="s">
        <v>19</v>
      </c>
      <c r="I252" s="5" t="s">
        <v>1315</v>
      </c>
      <c r="J252" s="5" t="s">
        <v>1316</v>
      </c>
      <c r="K252" s="5"/>
      <c r="L252" s="5"/>
      <c r="M252" s="5"/>
      <c r="N252" s="18" t="s">
        <v>980</v>
      </c>
    </row>
    <row r="253" customFormat="false" ht="15" hidden="false" customHeight="true" outlineLevel="0" collapsed="false">
      <c r="A253" s="5" t="n">
        <v>252</v>
      </c>
      <c r="B253" s="6" t="s">
        <v>1245</v>
      </c>
      <c r="C253" s="5"/>
      <c r="D253" s="5" t="s">
        <v>1246</v>
      </c>
      <c r="E253" s="5" t="s">
        <v>465</v>
      </c>
      <c r="F253" s="5" t="s">
        <v>109</v>
      </c>
      <c r="G253" s="5" t="s">
        <v>1247</v>
      </c>
      <c r="H253" s="8" t="s">
        <v>28</v>
      </c>
      <c r="I253" s="5" t="s">
        <v>1317</v>
      </c>
      <c r="J253" s="5" t="s">
        <v>1316</v>
      </c>
      <c r="K253" s="5"/>
      <c r="L253" s="5"/>
      <c r="M253" s="5"/>
      <c r="N253" s="21" t="s">
        <v>1130</v>
      </c>
    </row>
    <row r="254" customFormat="false" ht="15" hidden="false" customHeight="true" outlineLevel="0" collapsed="false">
      <c r="A254" s="5" t="n">
        <v>253</v>
      </c>
      <c r="B254" s="6" t="s">
        <v>211</v>
      </c>
      <c r="C254" s="5" t="s">
        <v>212</v>
      </c>
      <c r="D254" s="5" t="s">
        <v>213</v>
      </c>
      <c r="E254" s="5" t="s">
        <v>214</v>
      </c>
      <c r="F254" s="5" t="s">
        <v>17</v>
      </c>
      <c r="G254" s="5" t="s">
        <v>156</v>
      </c>
      <c r="H254" s="9" t="s">
        <v>35</v>
      </c>
      <c r="I254" s="5" t="s">
        <v>1357</v>
      </c>
      <c r="J254" s="5" t="s">
        <v>1358</v>
      </c>
      <c r="K254" s="5"/>
      <c r="L254" s="5"/>
      <c r="M254" s="5"/>
      <c r="N254" s="17" t="s">
        <v>13</v>
      </c>
    </row>
    <row r="255" customFormat="false" ht="15" hidden="false" customHeight="true" outlineLevel="0" collapsed="false">
      <c r="A255" s="5" t="n">
        <v>254</v>
      </c>
      <c r="B255" s="6" t="s">
        <v>418</v>
      </c>
      <c r="C255" s="5" t="s">
        <v>419</v>
      </c>
      <c r="D255" s="5" t="s">
        <v>420</v>
      </c>
      <c r="E255" s="5" t="s">
        <v>421</v>
      </c>
      <c r="F255" s="5" t="s">
        <v>17</v>
      </c>
      <c r="G255" s="5" t="s">
        <v>422</v>
      </c>
      <c r="H255" s="7" t="s">
        <v>19</v>
      </c>
      <c r="I255" s="5" t="s">
        <v>1348</v>
      </c>
      <c r="J255" s="5" t="s">
        <v>1338</v>
      </c>
      <c r="K255" s="5"/>
      <c r="L255" s="5" t="s">
        <v>1502</v>
      </c>
      <c r="M255" s="5"/>
      <c r="N255" s="19" t="s">
        <v>258</v>
      </c>
    </row>
    <row r="256" customFormat="false" ht="23.25" hidden="false" customHeight="true" outlineLevel="0" collapsed="false">
      <c r="A256" s="5" t="n">
        <v>255</v>
      </c>
      <c r="B256" s="6" t="s">
        <v>216</v>
      </c>
      <c r="C256" s="5" t="s">
        <v>217</v>
      </c>
      <c r="D256" s="5" t="s">
        <v>218</v>
      </c>
      <c r="E256" s="5" t="s">
        <v>219</v>
      </c>
      <c r="F256" s="5" t="s">
        <v>195</v>
      </c>
      <c r="G256" s="5" t="s">
        <v>220</v>
      </c>
      <c r="H256" s="9" t="s">
        <v>35</v>
      </c>
      <c r="I256" s="5" t="s">
        <v>1503</v>
      </c>
      <c r="J256" s="5" t="s">
        <v>1504</v>
      </c>
      <c r="K256" s="5"/>
      <c r="L256" s="5"/>
      <c r="M256" s="5"/>
      <c r="N256" s="17" t="s">
        <v>13</v>
      </c>
    </row>
    <row r="257" customFormat="false" ht="15" hidden="false" customHeight="true" outlineLevel="0" collapsed="false">
      <c r="A257" s="5" t="n">
        <v>256</v>
      </c>
      <c r="B257" s="6" t="s">
        <v>595</v>
      </c>
      <c r="C257" s="5" t="s">
        <v>596</v>
      </c>
      <c r="D257" s="5" t="s">
        <v>597</v>
      </c>
      <c r="E257" s="5" t="s">
        <v>598</v>
      </c>
      <c r="F257" s="5" t="s">
        <v>17</v>
      </c>
      <c r="G257" s="5" t="s">
        <v>202</v>
      </c>
      <c r="H257" s="9" t="s">
        <v>35</v>
      </c>
      <c r="I257" s="5" t="s">
        <v>1317</v>
      </c>
      <c r="J257" s="5" t="s">
        <v>1316</v>
      </c>
      <c r="K257" s="5"/>
      <c r="L257" s="5"/>
      <c r="M257" s="5"/>
      <c r="N257" s="22" t="s">
        <v>462</v>
      </c>
    </row>
    <row r="258" customFormat="false" ht="23.25" hidden="false" customHeight="true" outlineLevel="0" collapsed="false">
      <c r="A258" s="5" t="n">
        <v>257</v>
      </c>
      <c r="B258" s="6" t="s">
        <v>929</v>
      </c>
      <c r="C258" s="5" t="s">
        <v>930</v>
      </c>
      <c r="D258" s="5" t="s">
        <v>389</v>
      </c>
      <c r="E258" s="5" t="s">
        <v>470</v>
      </c>
      <c r="F258" s="5" t="s">
        <v>572</v>
      </c>
      <c r="G258" s="5" t="s">
        <v>708</v>
      </c>
      <c r="H258" s="8" t="s">
        <v>28</v>
      </c>
      <c r="I258" s="5" t="s">
        <v>1317</v>
      </c>
      <c r="J258" s="5" t="s">
        <v>1316</v>
      </c>
      <c r="K258" s="5"/>
      <c r="L258" s="5"/>
      <c r="M258" s="5"/>
      <c r="N258" s="23" t="s">
        <v>810</v>
      </c>
    </row>
    <row r="259" customFormat="false" ht="15" hidden="false" customHeight="true" outlineLevel="0" collapsed="false">
      <c r="A259" s="5" t="n">
        <v>258</v>
      </c>
      <c r="B259" s="6" t="s">
        <v>599</v>
      </c>
      <c r="C259" s="5" t="s">
        <v>600</v>
      </c>
      <c r="D259" s="5" t="s">
        <v>601</v>
      </c>
      <c r="E259" s="5" t="s">
        <v>602</v>
      </c>
      <c r="F259" s="5" t="s">
        <v>17</v>
      </c>
      <c r="G259" s="5" t="s">
        <v>603</v>
      </c>
      <c r="H259" s="7" t="s">
        <v>19</v>
      </c>
      <c r="I259" s="5" t="s">
        <v>1317</v>
      </c>
      <c r="J259" s="5" t="s">
        <v>1316</v>
      </c>
      <c r="K259" s="5"/>
      <c r="L259" s="5"/>
      <c r="M259" s="5"/>
      <c r="N259" s="22" t="s">
        <v>462</v>
      </c>
    </row>
    <row r="260" customFormat="false" ht="15" hidden="false" customHeight="true" outlineLevel="0" collapsed="false">
      <c r="A260" s="5" t="n">
        <v>259</v>
      </c>
      <c r="B260" s="6" t="s">
        <v>1101</v>
      </c>
      <c r="C260" s="5"/>
      <c r="D260" s="5" t="s">
        <v>1102</v>
      </c>
      <c r="E260" s="5" t="s">
        <v>357</v>
      </c>
      <c r="F260" s="5" t="s">
        <v>17</v>
      </c>
      <c r="G260" s="5" t="s">
        <v>252</v>
      </c>
      <c r="H260" s="8" t="s">
        <v>28</v>
      </c>
      <c r="I260" s="5" t="s">
        <v>1317</v>
      </c>
      <c r="J260" s="5" t="s">
        <v>1316</v>
      </c>
      <c r="K260" s="5"/>
      <c r="L260" s="5" t="s">
        <v>1505</v>
      </c>
      <c r="M260" s="5"/>
      <c r="N260" s="18" t="s">
        <v>980</v>
      </c>
    </row>
    <row r="261" customFormat="false" ht="15" hidden="false" customHeight="true" outlineLevel="0" collapsed="false">
      <c r="A261" s="5" t="n">
        <v>260</v>
      </c>
      <c r="B261" s="6" t="s">
        <v>423</v>
      </c>
      <c r="C261" s="5" t="s">
        <v>424</v>
      </c>
      <c r="D261" s="5" t="s">
        <v>425</v>
      </c>
      <c r="E261" s="5" t="s">
        <v>357</v>
      </c>
      <c r="F261" s="5" t="s">
        <v>17</v>
      </c>
      <c r="G261" s="5" t="s">
        <v>146</v>
      </c>
      <c r="H261" s="7" t="s">
        <v>19</v>
      </c>
      <c r="I261" s="5" t="s">
        <v>1506</v>
      </c>
      <c r="J261" s="5" t="s">
        <v>1316</v>
      </c>
      <c r="K261" s="5"/>
      <c r="L261" s="5" t="s">
        <v>1507</v>
      </c>
      <c r="M261" s="5"/>
      <c r="N261" s="19" t="s">
        <v>258</v>
      </c>
    </row>
    <row r="262" customFormat="false" ht="15" hidden="false" customHeight="true" outlineLevel="0" collapsed="false">
      <c r="A262" s="5" t="n">
        <v>261</v>
      </c>
      <c r="B262" s="6" t="s">
        <v>1103</v>
      </c>
      <c r="C262" s="5"/>
      <c r="D262" s="5" t="s">
        <v>1104</v>
      </c>
      <c r="E262" s="5" t="s">
        <v>304</v>
      </c>
      <c r="F262" s="5" t="s">
        <v>33</v>
      </c>
      <c r="G262" s="5" t="s">
        <v>1105</v>
      </c>
      <c r="H262" s="9" t="s">
        <v>35</v>
      </c>
      <c r="I262" s="5" t="s">
        <v>1317</v>
      </c>
      <c r="J262" s="5" t="s">
        <v>1316</v>
      </c>
      <c r="K262" s="5"/>
      <c r="L262" s="5"/>
      <c r="M262" s="5"/>
      <c r="N262" s="18" t="s">
        <v>980</v>
      </c>
    </row>
    <row r="263" customFormat="false" ht="15" hidden="false" customHeight="true" outlineLevel="0" collapsed="false">
      <c r="A263" s="5" t="n">
        <v>262</v>
      </c>
      <c r="B263" s="6" t="s">
        <v>1106</v>
      </c>
      <c r="C263" s="5" t="s">
        <v>1107</v>
      </c>
      <c r="D263" s="5" t="s">
        <v>1108</v>
      </c>
      <c r="E263" s="5" t="s">
        <v>519</v>
      </c>
      <c r="F263" s="5" t="s">
        <v>17</v>
      </c>
      <c r="G263" s="5" t="s">
        <v>1109</v>
      </c>
      <c r="H263" s="8" t="s">
        <v>28</v>
      </c>
      <c r="I263" s="5" t="s">
        <v>1317</v>
      </c>
      <c r="J263" s="5" t="s">
        <v>1316</v>
      </c>
      <c r="K263" s="5"/>
      <c r="L263" s="5"/>
      <c r="M263" s="5"/>
      <c r="N263" s="18" t="s">
        <v>980</v>
      </c>
    </row>
    <row r="264" customFormat="false" ht="15" hidden="false" customHeight="true" outlineLevel="0" collapsed="false">
      <c r="A264" s="5" t="n">
        <v>263</v>
      </c>
      <c r="B264" s="6" t="s">
        <v>1110</v>
      </c>
      <c r="C264" s="5"/>
      <c r="D264" s="5" t="s">
        <v>1111</v>
      </c>
      <c r="E264" s="5" t="s">
        <v>291</v>
      </c>
      <c r="F264" s="5" t="s">
        <v>139</v>
      </c>
      <c r="G264" s="5" t="s">
        <v>139</v>
      </c>
      <c r="H264" s="10" t="s">
        <v>56</v>
      </c>
      <c r="I264" s="5" t="s">
        <v>1317</v>
      </c>
      <c r="J264" s="5" t="s">
        <v>1316</v>
      </c>
      <c r="K264" s="5"/>
      <c r="L264" s="5"/>
      <c r="M264" s="5"/>
      <c r="N264" s="18" t="s">
        <v>980</v>
      </c>
    </row>
    <row r="265" customFormat="false" ht="15" hidden="false" customHeight="true" outlineLevel="0" collapsed="false">
      <c r="A265" s="5" t="n">
        <v>264</v>
      </c>
      <c r="B265" s="6" t="s">
        <v>931</v>
      </c>
      <c r="C265" s="5" t="s">
        <v>932</v>
      </c>
      <c r="D265" s="5" t="s">
        <v>933</v>
      </c>
      <c r="E265" s="5" t="s">
        <v>615</v>
      </c>
      <c r="F265" s="5" t="s">
        <v>934</v>
      </c>
      <c r="G265" s="5" t="s">
        <v>935</v>
      </c>
      <c r="H265" s="7" t="s">
        <v>19</v>
      </c>
      <c r="I265" s="5" t="s">
        <v>1508</v>
      </c>
      <c r="J265" s="5" t="s">
        <v>1509</v>
      </c>
      <c r="K265" s="5"/>
      <c r="L265" s="5" t="s">
        <v>1510</v>
      </c>
      <c r="M265" s="5"/>
      <c r="N265" s="23" t="s">
        <v>810</v>
      </c>
    </row>
    <row r="266" customFormat="false" ht="15" hidden="false" customHeight="true" outlineLevel="0" collapsed="false">
      <c r="A266" s="5" t="n">
        <v>265</v>
      </c>
      <c r="B266" s="6" t="s">
        <v>604</v>
      </c>
      <c r="C266" s="5" t="s">
        <v>605</v>
      </c>
      <c r="D266" s="5" t="s">
        <v>606</v>
      </c>
      <c r="E266" s="5" t="s">
        <v>16</v>
      </c>
      <c r="F266" s="5" t="s">
        <v>578</v>
      </c>
      <c r="G266" s="5" t="s">
        <v>607</v>
      </c>
      <c r="H266" s="8" t="s">
        <v>28</v>
      </c>
      <c r="I266" s="5" t="s">
        <v>1317</v>
      </c>
      <c r="J266" s="5" t="s">
        <v>1316</v>
      </c>
      <c r="K266" s="5"/>
      <c r="L266" s="5" t="s">
        <v>1511</v>
      </c>
      <c r="M266" s="5"/>
      <c r="N266" s="22" t="s">
        <v>462</v>
      </c>
    </row>
    <row r="267" customFormat="false" ht="15" hidden="false" customHeight="true" outlineLevel="0" collapsed="false">
      <c r="A267" s="5" t="n">
        <v>266</v>
      </c>
      <c r="B267" s="6" t="s">
        <v>1112</v>
      </c>
      <c r="C267" s="5"/>
      <c r="D267" s="5" t="s">
        <v>1113</v>
      </c>
      <c r="E267" s="5" t="s">
        <v>796</v>
      </c>
      <c r="F267" s="5" t="s">
        <v>17</v>
      </c>
      <c r="G267" s="5" t="s">
        <v>161</v>
      </c>
      <c r="H267" s="7" t="s">
        <v>19</v>
      </c>
      <c r="I267" s="5" t="s">
        <v>1317</v>
      </c>
      <c r="J267" s="5" t="s">
        <v>1316</v>
      </c>
      <c r="K267" s="5"/>
      <c r="L267" s="5" t="s">
        <v>1512</v>
      </c>
      <c r="M267" s="5"/>
      <c r="N267" s="18" t="s">
        <v>980</v>
      </c>
    </row>
    <row r="268" customFormat="false" ht="15" hidden="false" customHeight="true" outlineLevel="0" collapsed="false">
      <c r="A268" s="5" t="n">
        <v>267</v>
      </c>
      <c r="B268" s="6" t="s">
        <v>756</v>
      </c>
      <c r="C268" s="5" t="s">
        <v>757</v>
      </c>
      <c r="D268" s="5" t="s">
        <v>758</v>
      </c>
      <c r="E268" s="5" t="s">
        <v>347</v>
      </c>
      <c r="F268" s="5" t="s">
        <v>17</v>
      </c>
      <c r="G268" s="5" t="s">
        <v>759</v>
      </c>
      <c r="H268" s="7" t="s">
        <v>19</v>
      </c>
      <c r="I268" s="5" t="s">
        <v>1317</v>
      </c>
      <c r="J268" s="5" t="s">
        <v>1316</v>
      </c>
      <c r="K268" s="5"/>
      <c r="L268" s="5" t="s">
        <v>1513</v>
      </c>
      <c r="M268" s="5"/>
      <c r="N268" s="20" t="s">
        <v>657</v>
      </c>
    </row>
    <row r="269" customFormat="false" ht="15" hidden="false" customHeight="true" outlineLevel="0" collapsed="false">
      <c r="A269" s="5" t="n">
        <v>268</v>
      </c>
      <c r="B269" s="6" t="s">
        <v>760</v>
      </c>
      <c r="C269" s="5" t="s">
        <v>761</v>
      </c>
      <c r="D269" s="5" t="s">
        <v>762</v>
      </c>
      <c r="E269" s="5" t="s">
        <v>763</v>
      </c>
      <c r="F269" s="5" t="s">
        <v>17</v>
      </c>
      <c r="G269" s="5" t="s">
        <v>71</v>
      </c>
      <c r="H269" s="7" t="s">
        <v>19</v>
      </c>
      <c r="I269" s="5" t="s">
        <v>1410</v>
      </c>
      <c r="J269" s="5" t="s">
        <v>1316</v>
      </c>
      <c r="K269" s="5" t="s">
        <v>1514</v>
      </c>
      <c r="L269" s="5"/>
      <c r="M269" s="5"/>
      <c r="N269" s="20" t="s">
        <v>657</v>
      </c>
    </row>
    <row r="270" customFormat="false" ht="15" hidden="false" customHeight="true" outlineLevel="0" collapsed="false">
      <c r="A270" s="5" t="n">
        <v>269</v>
      </c>
      <c r="B270" s="6" t="s">
        <v>221</v>
      </c>
      <c r="C270" s="5" t="s">
        <v>222</v>
      </c>
      <c r="D270" s="5" t="s">
        <v>223</v>
      </c>
      <c r="E270" s="5" t="s">
        <v>155</v>
      </c>
      <c r="F270" s="5" t="s">
        <v>17</v>
      </c>
      <c r="G270" s="5" t="s">
        <v>224</v>
      </c>
      <c r="H270" s="10" t="s">
        <v>56</v>
      </c>
      <c r="I270" s="5" t="s">
        <v>1359</v>
      </c>
      <c r="J270" s="5" t="s">
        <v>1329</v>
      </c>
      <c r="K270" s="5"/>
      <c r="L270" s="5" t="s">
        <v>1515</v>
      </c>
      <c r="M270" s="5"/>
      <c r="N270" s="17" t="s">
        <v>13</v>
      </c>
    </row>
    <row r="271" customFormat="false" ht="15" hidden="false" customHeight="true" outlineLevel="0" collapsed="false">
      <c r="A271" s="5" t="n">
        <v>270</v>
      </c>
      <c r="B271" s="6" t="s">
        <v>1114</v>
      </c>
      <c r="C271" s="5"/>
      <c r="D271" s="5" t="s">
        <v>1115</v>
      </c>
      <c r="E271" s="5" t="s">
        <v>357</v>
      </c>
      <c r="F271" s="5" t="s">
        <v>17</v>
      </c>
      <c r="G271" s="5" t="s">
        <v>190</v>
      </c>
      <c r="H271" s="8" t="s">
        <v>28</v>
      </c>
      <c r="I271" s="5" t="s">
        <v>1516</v>
      </c>
      <c r="J271" s="5" t="s">
        <v>1316</v>
      </c>
      <c r="K271" s="5"/>
      <c r="L271" s="5"/>
      <c r="M271" s="5"/>
      <c r="N271" s="18" t="s">
        <v>980</v>
      </c>
    </row>
    <row r="272" customFormat="false" ht="15" hidden="false" customHeight="true" outlineLevel="0" collapsed="false">
      <c r="A272" s="5" t="n">
        <v>271</v>
      </c>
      <c r="B272" s="6" t="s">
        <v>936</v>
      </c>
      <c r="C272" s="5" t="s">
        <v>937</v>
      </c>
      <c r="D272" s="5" t="s">
        <v>95</v>
      </c>
      <c r="E272" s="5" t="s">
        <v>690</v>
      </c>
      <c r="F272" s="5" t="s">
        <v>97</v>
      </c>
      <c r="G272" s="5" t="s">
        <v>562</v>
      </c>
      <c r="H272" s="10" t="s">
        <v>56</v>
      </c>
      <c r="I272" s="5" t="s">
        <v>1315</v>
      </c>
      <c r="J272" s="5" t="s">
        <v>1316</v>
      </c>
      <c r="K272" s="5"/>
      <c r="L272" s="5"/>
      <c r="M272" s="5"/>
      <c r="N272" s="23" t="s">
        <v>810</v>
      </c>
    </row>
    <row r="273" customFormat="false" ht="15" hidden="false" customHeight="true" outlineLevel="0" collapsed="false">
      <c r="A273" s="5" t="n">
        <v>272</v>
      </c>
      <c r="B273" s="6" t="s">
        <v>225</v>
      </c>
      <c r="C273" s="5" t="s">
        <v>226</v>
      </c>
      <c r="D273" s="5" t="s">
        <v>227</v>
      </c>
      <c r="E273" s="5" t="s">
        <v>228</v>
      </c>
      <c r="F273" s="5" t="s">
        <v>103</v>
      </c>
      <c r="G273" s="5" t="s">
        <v>229</v>
      </c>
      <c r="H273" s="7" t="s">
        <v>19</v>
      </c>
      <c r="I273" s="5" t="s">
        <v>1407</v>
      </c>
      <c r="J273" s="5" t="s">
        <v>1408</v>
      </c>
      <c r="K273" s="5"/>
      <c r="L273" s="5"/>
      <c r="M273" s="5"/>
      <c r="N273" s="17" t="s">
        <v>13</v>
      </c>
    </row>
    <row r="274" customFormat="false" ht="15" hidden="false" customHeight="true" outlineLevel="0" collapsed="false">
      <c r="A274" s="5" t="n">
        <v>273</v>
      </c>
      <c r="B274" s="6" t="s">
        <v>938</v>
      </c>
      <c r="C274" s="5"/>
      <c r="D274" s="5" t="s">
        <v>939</v>
      </c>
      <c r="E274" s="5" t="s">
        <v>465</v>
      </c>
      <c r="F274" s="5" t="s">
        <v>97</v>
      </c>
      <c r="G274" s="5" t="s">
        <v>940</v>
      </c>
      <c r="H274" s="10" t="s">
        <v>56</v>
      </c>
      <c r="I274" s="5" t="s">
        <v>1317</v>
      </c>
      <c r="J274" s="5" t="s">
        <v>1316</v>
      </c>
      <c r="K274" s="5" t="s">
        <v>1517</v>
      </c>
      <c r="L274" s="5" t="s">
        <v>1518</v>
      </c>
      <c r="M274" s="5"/>
      <c r="N274" s="23" t="s">
        <v>810</v>
      </c>
    </row>
    <row r="275" customFormat="false" ht="23.25" hidden="false" customHeight="true" outlineLevel="0" collapsed="false">
      <c r="A275" s="5" t="n">
        <v>274</v>
      </c>
      <c r="B275" s="6" t="s">
        <v>1249</v>
      </c>
      <c r="C275" s="5"/>
      <c r="D275" s="5" t="s">
        <v>1250</v>
      </c>
      <c r="E275" s="5" t="s">
        <v>395</v>
      </c>
      <c r="F275" s="5" t="s">
        <v>1229</v>
      </c>
      <c r="G275" s="5" t="s">
        <v>1251</v>
      </c>
      <c r="H275" s="8" t="s">
        <v>28</v>
      </c>
      <c r="I275" s="5" t="s">
        <v>1315</v>
      </c>
      <c r="J275" s="5" t="s">
        <v>1316</v>
      </c>
      <c r="K275" s="5"/>
      <c r="L275" s="5"/>
      <c r="M275" s="5"/>
      <c r="N275" s="21" t="s">
        <v>1130</v>
      </c>
    </row>
    <row r="276" customFormat="false" ht="15" hidden="false" customHeight="true" outlineLevel="0" collapsed="false">
      <c r="A276" s="5" t="n">
        <v>275</v>
      </c>
      <c r="B276" s="6" t="s">
        <v>764</v>
      </c>
      <c r="C276" s="5" t="s">
        <v>765</v>
      </c>
      <c r="D276" s="5" t="s">
        <v>766</v>
      </c>
      <c r="E276" s="5" t="s">
        <v>767</v>
      </c>
      <c r="F276" s="5" t="s">
        <v>17</v>
      </c>
      <c r="G276" s="5" t="s">
        <v>768</v>
      </c>
      <c r="H276" s="8" t="s">
        <v>28</v>
      </c>
      <c r="I276" s="5" t="s">
        <v>1317</v>
      </c>
      <c r="J276" s="5" t="s">
        <v>1316</v>
      </c>
      <c r="K276" s="5"/>
      <c r="L276" s="5"/>
      <c r="M276" s="5"/>
      <c r="N276" s="20" t="s">
        <v>657</v>
      </c>
    </row>
    <row r="277" customFormat="false" ht="15" hidden="false" customHeight="true" outlineLevel="0" collapsed="false">
      <c r="A277" s="5" t="n">
        <v>276</v>
      </c>
      <c r="B277" s="6" t="s">
        <v>230</v>
      </c>
      <c r="C277" s="5" t="s">
        <v>231</v>
      </c>
      <c r="D277" s="5" t="s">
        <v>232</v>
      </c>
      <c r="E277" s="5" t="s">
        <v>26</v>
      </c>
      <c r="F277" s="5" t="s">
        <v>17</v>
      </c>
      <c r="G277" s="5" t="s">
        <v>233</v>
      </c>
      <c r="H277" s="7" t="s">
        <v>19</v>
      </c>
      <c r="I277" s="5" t="s">
        <v>1398</v>
      </c>
      <c r="J277" s="5" t="s">
        <v>1399</v>
      </c>
      <c r="K277" s="5"/>
      <c r="L277" s="5" t="s">
        <v>1519</v>
      </c>
      <c r="M277" s="5"/>
      <c r="N277" s="17" t="s">
        <v>13</v>
      </c>
    </row>
    <row r="278" customFormat="false" ht="15" hidden="false" customHeight="true" outlineLevel="0" collapsed="false">
      <c r="A278" s="5" t="n">
        <v>277</v>
      </c>
      <c r="B278" s="6" t="s">
        <v>608</v>
      </c>
      <c r="C278" s="5" t="s">
        <v>609</v>
      </c>
      <c r="D278" s="5" t="s">
        <v>610</v>
      </c>
      <c r="E278" s="5" t="s">
        <v>357</v>
      </c>
      <c r="F278" s="5" t="s">
        <v>17</v>
      </c>
      <c r="G278" s="5" t="s">
        <v>611</v>
      </c>
      <c r="H278" s="9" t="s">
        <v>35</v>
      </c>
      <c r="I278" s="5" t="s">
        <v>1520</v>
      </c>
      <c r="J278" s="5" t="s">
        <v>1316</v>
      </c>
      <c r="K278" s="5"/>
      <c r="L278" s="5"/>
      <c r="M278" s="5"/>
      <c r="N278" s="22" t="s">
        <v>462</v>
      </c>
    </row>
    <row r="279" customFormat="false" ht="15" hidden="false" customHeight="true" outlineLevel="0" collapsed="false">
      <c r="A279" s="5" t="n">
        <v>278</v>
      </c>
      <c r="B279" s="6" t="s">
        <v>1253</v>
      </c>
      <c r="C279" s="5" t="s">
        <v>1254</v>
      </c>
      <c r="D279" s="5" t="s">
        <v>1255</v>
      </c>
      <c r="E279" s="5" t="s">
        <v>347</v>
      </c>
      <c r="F279" s="5" t="s">
        <v>17</v>
      </c>
      <c r="G279" s="5" t="s">
        <v>562</v>
      </c>
      <c r="H279" s="7" t="s">
        <v>19</v>
      </c>
      <c r="I279" s="5" t="s">
        <v>1317</v>
      </c>
      <c r="J279" s="5" t="s">
        <v>1316</v>
      </c>
      <c r="K279" s="5"/>
      <c r="L279" s="5" t="s">
        <v>1521</v>
      </c>
      <c r="M279" s="5"/>
      <c r="N279" s="21" t="s">
        <v>1130</v>
      </c>
    </row>
    <row r="280" customFormat="false" ht="23.25" hidden="false" customHeight="true" outlineLevel="0" collapsed="false">
      <c r="A280" s="5" t="n">
        <v>279</v>
      </c>
      <c r="B280" s="6" t="s">
        <v>1257</v>
      </c>
      <c r="C280" s="5" t="s">
        <v>1258</v>
      </c>
      <c r="D280" s="5" t="s">
        <v>1259</v>
      </c>
      <c r="E280" s="5" t="s">
        <v>818</v>
      </c>
      <c r="F280" s="5" t="s">
        <v>109</v>
      </c>
      <c r="G280" s="5" t="s">
        <v>1260</v>
      </c>
      <c r="H280" s="7" t="s">
        <v>19</v>
      </c>
      <c r="I280" s="5" t="s">
        <v>1522</v>
      </c>
      <c r="J280" s="5" t="s">
        <v>1316</v>
      </c>
      <c r="K280" s="5"/>
      <c r="L280" s="5"/>
      <c r="M280" s="5"/>
      <c r="N280" s="21" t="s">
        <v>1130</v>
      </c>
    </row>
    <row r="281" customFormat="false" ht="23.25" hidden="false" customHeight="true" outlineLevel="0" collapsed="false">
      <c r="A281" s="5" t="n">
        <v>280</v>
      </c>
      <c r="B281" s="6" t="s">
        <v>1262</v>
      </c>
      <c r="C281" s="5"/>
      <c r="D281" s="5" t="s">
        <v>1263</v>
      </c>
      <c r="E281" s="5" t="s">
        <v>304</v>
      </c>
      <c r="F281" s="5" t="s">
        <v>942</v>
      </c>
      <c r="G281" s="5" t="s">
        <v>1264</v>
      </c>
      <c r="H281" s="9" t="s">
        <v>35</v>
      </c>
      <c r="I281" s="5" t="s">
        <v>1317</v>
      </c>
      <c r="J281" s="5" t="s">
        <v>1316</v>
      </c>
      <c r="K281" s="5"/>
      <c r="L281" s="5" t="s">
        <v>1523</v>
      </c>
      <c r="M281" s="5"/>
      <c r="N281" s="21" t="s">
        <v>1130</v>
      </c>
    </row>
    <row r="282" customFormat="false" ht="23.25" hidden="false" customHeight="true" outlineLevel="0" collapsed="false">
      <c r="A282" s="5" t="n">
        <v>281</v>
      </c>
      <c r="B282" s="6" t="s">
        <v>1116</v>
      </c>
      <c r="C282" s="5"/>
      <c r="D282" s="5" t="s">
        <v>597</v>
      </c>
      <c r="E282" s="5" t="s">
        <v>357</v>
      </c>
      <c r="F282" s="5" t="s">
        <v>139</v>
      </c>
      <c r="G282" s="5" t="s">
        <v>1117</v>
      </c>
      <c r="H282" s="9" t="s">
        <v>35</v>
      </c>
      <c r="I282" s="5" t="s">
        <v>1317</v>
      </c>
      <c r="J282" s="5" t="s">
        <v>1316</v>
      </c>
      <c r="K282" s="5"/>
      <c r="L282" s="5"/>
      <c r="M282" s="5"/>
      <c r="N282" s="18" t="s">
        <v>980</v>
      </c>
    </row>
    <row r="283" customFormat="false" ht="15" hidden="false" customHeight="true" outlineLevel="0" collapsed="false">
      <c r="A283" s="5" t="n">
        <v>282</v>
      </c>
      <c r="B283" s="6" t="s">
        <v>1266</v>
      </c>
      <c r="C283" s="5"/>
      <c r="D283" s="5" t="s">
        <v>1136</v>
      </c>
      <c r="E283" s="5" t="s">
        <v>170</v>
      </c>
      <c r="F283" s="5" t="s">
        <v>1100</v>
      </c>
      <c r="G283" s="5" t="s">
        <v>1137</v>
      </c>
      <c r="H283" s="9" t="s">
        <v>35</v>
      </c>
      <c r="I283" s="5" t="s">
        <v>1317</v>
      </c>
      <c r="J283" s="5" t="s">
        <v>1316</v>
      </c>
      <c r="K283" s="5"/>
      <c r="L283" s="5" t="s">
        <v>1524</v>
      </c>
      <c r="M283" s="5"/>
      <c r="N283" s="21" t="s">
        <v>1130</v>
      </c>
    </row>
    <row r="284" customFormat="false" ht="15" hidden="false" customHeight="true" outlineLevel="0" collapsed="false">
      <c r="A284" s="5" t="n">
        <v>283</v>
      </c>
      <c r="B284" s="6" t="s">
        <v>769</v>
      </c>
      <c r="C284" s="5" t="s">
        <v>770</v>
      </c>
      <c r="D284" s="5" t="s">
        <v>771</v>
      </c>
      <c r="E284" s="5" t="s">
        <v>155</v>
      </c>
      <c r="F284" s="5" t="s">
        <v>772</v>
      </c>
      <c r="G284" s="5" t="s">
        <v>190</v>
      </c>
      <c r="H284" s="9" t="s">
        <v>35</v>
      </c>
      <c r="I284" s="5" t="s">
        <v>1317</v>
      </c>
      <c r="J284" s="5" t="s">
        <v>1316</v>
      </c>
      <c r="K284" s="5"/>
      <c r="L284" s="5" t="s">
        <v>1525</v>
      </c>
      <c r="M284" s="5"/>
      <c r="N284" s="20" t="s">
        <v>657</v>
      </c>
    </row>
    <row r="285" customFormat="false" ht="15" hidden="false" customHeight="true" outlineLevel="0" collapsed="false">
      <c r="A285" s="5" t="n">
        <v>284</v>
      </c>
      <c r="B285" s="6" t="s">
        <v>1267</v>
      </c>
      <c r="C285" s="5"/>
      <c r="D285" s="5" t="s">
        <v>1136</v>
      </c>
      <c r="E285" s="5" t="s">
        <v>738</v>
      </c>
      <c r="F285" s="5" t="s">
        <v>1100</v>
      </c>
      <c r="G285" s="5" t="s">
        <v>1137</v>
      </c>
      <c r="H285" s="9" t="s">
        <v>35</v>
      </c>
      <c r="I285" s="5" t="s">
        <v>1317</v>
      </c>
      <c r="J285" s="5" t="s">
        <v>1316</v>
      </c>
      <c r="K285" s="5"/>
      <c r="L285" s="5" t="s">
        <v>1526</v>
      </c>
      <c r="M285" s="5"/>
      <c r="N285" s="21" t="s">
        <v>1130</v>
      </c>
    </row>
    <row r="286" customFormat="false" ht="15" hidden="false" customHeight="true" outlineLevel="0" collapsed="false">
      <c r="A286" s="5" t="n">
        <v>285</v>
      </c>
      <c r="B286" s="6" t="s">
        <v>773</v>
      </c>
      <c r="C286" s="5" t="s">
        <v>774</v>
      </c>
      <c r="D286" s="5" t="s">
        <v>775</v>
      </c>
      <c r="E286" s="5" t="s">
        <v>486</v>
      </c>
      <c r="F286" s="5" t="s">
        <v>17</v>
      </c>
      <c r="G286" s="5" t="s">
        <v>190</v>
      </c>
      <c r="H286" s="9" t="s">
        <v>35</v>
      </c>
      <c r="I286" s="5" t="s">
        <v>1317</v>
      </c>
      <c r="J286" s="5" t="s">
        <v>1316</v>
      </c>
      <c r="K286" s="5"/>
      <c r="L286" s="5" t="s">
        <v>1527</v>
      </c>
      <c r="M286" s="5"/>
      <c r="N286" s="20" t="s">
        <v>657</v>
      </c>
    </row>
    <row r="287" customFormat="false" ht="15" hidden="false" customHeight="true" outlineLevel="0" collapsed="false">
      <c r="A287" s="5" t="n">
        <v>286</v>
      </c>
      <c r="B287" s="6" t="s">
        <v>234</v>
      </c>
      <c r="C287" s="5" t="s">
        <v>235</v>
      </c>
      <c r="D287" s="5" t="s">
        <v>236</v>
      </c>
      <c r="E287" s="5" t="s">
        <v>237</v>
      </c>
      <c r="F287" s="5" t="s">
        <v>17</v>
      </c>
      <c r="G287" s="5" t="s">
        <v>238</v>
      </c>
      <c r="H287" s="8" t="s">
        <v>28</v>
      </c>
      <c r="I287" s="5" t="s">
        <v>1376</v>
      </c>
      <c r="J287" s="5" t="s">
        <v>1316</v>
      </c>
      <c r="K287" s="5"/>
      <c r="L287" s="5"/>
      <c r="M287" s="5"/>
      <c r="N287" s="17" t="s">
        <v>13</v>
      </c>
    </row>
    <row r="288" customFormat="false" ht="23.25" hidden="false" customHeight="true" outlineLevel="0" collapsed="false">
      <c r="A288" s="5" t="n">
        <v>287</v>
      </c>
      <c r="B288" s="6" t="s">
        <v>776</v>
      </c>
      <c r="C288" s="5"/>
      <c r="D288" s="5" t="s">
        <v>518</v>
      </c>
      <c r="E288" s="5" t="s">
        <v>569</v>
      </c>
      <c r="F288" s="5" t="s">
        <v>33</v>
      </c>
      <c r="G288" s="5" t="s">
        <v>777</v>
      </c>
      <c r="H288" s="9" t="s">
        <v>35</v>
      </c>
      <c r="I288" s="5" t="s">
        <v>1315</v>
      </c>
      <c r="J288" s="5" t="s">
        <v>1316</v>
      </c>
      <c r="K288" s="5"/>
      <c r="L288" s="5" t="s">
        <v>1528</v>
      </c>
      <c r="M288" s="5"/>
      <c r="N288" s="20" t="s">
        <v>657</v>
      </c>
    </row>
    <row r="289" customFormat="false" ht="15" hidden="false" customHeight="true" outlineLevel="0" collapsed="false">
      <c r="A289" s="5" t="n">
        <v>288</v>
      </c>
      <c r="B289" s="6" t="s">
        <v>941</v>
      </c>
      <c r="C289" s="5"/>
      <c r="D289" s="5" t="s">
        <v>671</v>
      </c>
      <c r="E289" s="5" t="s">
        <v>620</v>
      </c>
      <c r="F289" s="5" t="s">
        <v>942</v>
      </c>
      <c r="G289" s="5" t="s">
        <v>943</v>
      </c>
      <c r="H289" s="9" t="s">
        <v>35</v>
      </c>
      <c r="I289" s="5" t="s">
        <v>1317</v>
      </c>
      <c r="J289" s="5" t="s">
        <v>1316</v>
      </c>
      <c r="K289" s="5"/>
      <c r="L289" s="5"/>
      <c r="M289" s="5"/>
      <c r="N289" s="23" t="s">
        <v>810</v>
      </c>
    </row>
    <row r="290" customFormat="false" ht="23.25" hidden="false" customHeight="true" outlineLevel="0" collapsed="false">
      <c r="A290" s="5" t="n">
        <v>289</v>
      </c>
      <c r="B290" s="6" t="s">
        <v>945</v>
      </c>
      <c r="C290" s="5"/>
      <c r="D290" s="5" t="s">
        <v>946</v>
      </c>
      <c r="E290" s="5" t="s">
        <v>118</v>
      </c>
      <c r="F290" s="5" t="s">
        <v>834</v>
      </c>
      <c r="G290" s="5" t="s">
        <v>834</v>
      </c>
      <c r="H290" s="7" t="s">
        <v>19</v>
      </c>
      <c r="I290" s="5" t="s">
        <v>1439</v>
      </c>
      <c r="J290" s="5" t="s">
        <v>1408</v>
      </c>
      <c r="K290" s="5"/>
      <c r="L290" s="5" t="s">
        <v>1529</v>
      </c>
      <c r="M290" s="5"/>
      <c r="N290" s="23" t="s">
        <v>810</v>
      </c>
    </row>
    <row r="291" customFormat="false" ht="15" hidden="false" customHeight="true" outlineLevel="0" collapsed="false">
      <c r="A291" s="5" t="n">
        <v>290</v>
      </c>
      <c r="B291" s="6" t="s">
        <v>947</v>
      </c>
      <c r="C291" s="5" t="s">
        <v>948</v>
      </c>
      <c r="D291" s="5" t="s">
        <v>949</v>
      </c>
      <c r="E291" s="5" t="s">
        <v>950</v>
      </c>
      <c r="F291" s="5" t="s">
        <v>33</v>
      </c>
      <c r="G291" s="5" t="s">
        <v>951</v>
      </c>
      <c r="H291" s="9" t="s">
        <v>35</v>
      </c>
      <c r="I291" s="5" t="s">
        <v>1317</v>
      </c>
      <c r="J291" s="5" t="s">
        <v>1316</v>
      </c>
      <c r="K291" s="5"/>
      <c r="L291" s="5"/>
      <c r="M291" s="5"/>
      <c r="N291" s="23" t="s">
        <v>810</v>
      </c>
    </row>
    <row r="292" customFormat="false" ht="15" hidden="false" customHeight="true" outlineLevel="0" collapsed="false">
      <c r="A292" s="5" t="n">
        <v>291</v>
      </c>
      <c r="B292" s="6" t="s">
        <v>1268</v>
      </c>
      <c r="C292" s="5"/>
      <c r="D292" s="5" t="s">
        <v>1269</v>
      </c>
      <c r="E292" s="5" t="s">
        <v>569</v>
      </c>
      <c r="F292" s="5" t="s">
        <v>109</v>
      </c>
      <c r="G292" s="5" t="s">
        <v>1270</v>
      </c>
      <c r="H292" s="7" t="s">
        <v>19</v>
      </c>
      <c r="I292" s="5" t="s">
        <v>1317</v>
      </c>
      <c r="J292" s="5" t="s">
        <v>1316</v>
      </c>
      <c r="K292" s="5"/>
      <c r="L292" s="5" t="s">
        <v>1453</v>
      </c>
      <c r="M292" s="5"/>
      <c r="N292" s="21" t="s">
        <v>1130</v>
      </c>
    </row>
    <row r="293" customFormat="false" ht="15" hidden="false" customHeight="true" outlineLevel="0" collapsed="false">
      <c r="A293" s="5" t="n">
        <v>292</v>
      </c>
      <c r="B293" s="6" t="s">
        <v>612</v>
      </c>
      <c r="C293" s="5" t="s">
        <v>613</v>
      </c>
      <c r="D293" s="5" t="s">
        <v>614</v>
      </c>
      <c r="E293" s="5" t="s">
        <v>615</v>
      </c>
      <c r="F293" s="5" t="s">
        <v>195</v>
      </c>
      <c r="G293" s="5" t="s">
        <v>616</v>
      </c>
      <c r="H293" s="7" t="s">
        <v>19</v>
      </c>
      <c r="I293" s="5" t="s">
        <v>1317</v>
      </c>
      <c r="J293" s="5" t="s">
        <v>1316</v>
      </c>
      <c r="K293" s="5"/>
      <c r="L293" s="5" t="s">
        <v>1530</v>
      </c>
      <c r="M293" s="5"/>
      <c r="N293" s="22" t="s">
        <v>462</v>
      </c>
    </row>
    <row r="294" customFormat="false" ht="15" hidden="false" customHeight="true" outlineLevel="0" collapsed="false">
      <c r="A294" s="5" t="n">
        <v>293</v>
      </c>
      <c r="B294" s="6" t="s">
        <v>617</v>
      </c>
      <c r="C294" s="5" t="s">
        <v>618</v>
      </c>
      <c r="D294" s="5" t="s">
        <v>619</v>
      </c>
      <c r="E294" s="5" t="s">
        <v>620</v>
      </c>
      <c r="F294" s="5" t="s">
        <v>17</v>
      </c>
      <c r="G294" s="5" t="s">
        <v>621</v>
      </c>
      <c r="H294" s="9" t="s">
        <v>35</v>
      </c>
      <c r="I294" s="5" t="s">
        <v>1315</v>
      </c>
      <c r="J294" s="5" t="s">
        <v>1316</v>
      </c>
      <c r="K294" s="5"/>
      <c r="L294" s="5"/>
      <c r="M294" s="5"/>
      <c r="N294" s="22" t="s">
        <v>462</v>
      </c>
    </row>
    <row r="295" customFormat="false" ht="15" hidden="false" customHeight="true" outlineLevel="0" collapsed="false">
      <c r="A295" s="5" t="n">
        <v>294</v>
      </c>
      <c r="B295" s="6" t="s">
        <v>952</v>
      </c>
      <c r="C295" s="5" t="s">
        <v>953</v>
      </c>
      <c r="D295" s="5" t="s">
        <v>954</v>
      </c>
      <c r="E295" s="5" t="s">
        <v>201</v>
      </c>
      <c r="F295" s="5" t="s">
        <v>17</v>
      </c>
      <c r="G295" s="5" t="s">
        <v>955</v>
      </c>
      <c r="H295" s="8" t="s">
        <v>28</v>
      </c>
      <c r="I295" s="5" t="s">
        <v>1317</v>
      </c>
      <c r="J295" s="5" t="s">
        <v>1316</v>
      </c>
      <c r="K295" s="5"/>
      <c r="L295" s="5"/>
      <c r="M295" s="5"/>
      <c r="N295" s="23" t="s">
        <v>810</v>
      </c>
    </row>
    <row r="296" customFormat="false" ht="15" hidden="false" customHeight="true" outlineLevel="0" collapsed="false">
      <c r="A296" s="5" t="n">
        <v>295</v>
      </c>
      <c r="B296" s="6" t="s">
        <v>778</v>
      </c>
      <c r="C296" s="5" t="s">
        <v>779</v>
      </c>
      <c r="D296" s="5" t="s">
        <v>415</v>
      </c>
      <c r="E296" s="5" t="s">
        <v>780</v>
      </c>
      <c r="F296" s="5" t="s">
        <v>17</v>
      </c>
      <c r="G296" s="5" t="s">
        <v>416</v>
      </c>
      <c r="H296" s="10" t="s">
        <v>56</v>
      </c>
      <c r="I296" s="5" t="s">
        <v>1315</v>
      </c>
      <c r="J296" s="5" t="s">
        <v>1316</v>
      </c>
      <c r="K296" s="5"/>
      <c r="L296" s="5" t="s">
        <v>1531</v>
      </c>
      <c r="M296" s="5"/>
      <c r="N296" s="20" t="s">
        <v>657</v>
      </c>
    </row>
    <row r="297" customFormat="false" ht="15" hidden="false" customHeight="true" outlineLevel="0" collapsed="false">
      <c r="A297" s="5" t="n">
        <v>296</v>
      </c>
      <c r="B297" s="6" t="s">
        <v>1271</v>
      </c>
      <c r="C297" s="5"/>
      <c r="D297" s="5" t="s">
        <v>1272</v>
      </c>
      <c r="E297" s="5" t="s">
        <v>357</v>
      </c>
      <c r="F297" s="5" t="s">
        <v>1156</v>
      </c>
      <c r="G297" s="5" t="s">
        <v>1157</v>
      </c>
      <c r="H297" s="8" t="s">
        <v>28</v>
      </c>
      <c r="I297" s="5" t="s">
        <v>1315</v>
      </c>
      <c r="J297" s="5" t="s">
        <v>1316</v>
      </c>
      <c r="K297" s="5"/>
      <c r="L297" s="5"/>
      <c r="M297" s="5"/>
      <c r="N297" s="21" t="s">
        <v>1130</v>
      </c>
    </row>
    <row r="298" customFormat="false" ht="15" hidden="false" customHeight="true" outlineLevel="0" collapsed="false">
      <c r="A298" s="5" t="n">
        <v>297</v>
      </c>
      <c r="B298" s="6" t="s">
        <v>1273</v>
      </c>
      <c r="C298" s="5" t="s">
        <v>1274</v>
      </c>
      <c r="D298" s="5" t="s">
        <v>969</v>
      </c>
      <c r="E298" s="5" t="s">
        <v>228</v>
      </c>
      <c r="F298" s="5" t="s">
        <v>471</v>
      </c>
      <c r="G298" s="5" t="s">
        <v>472</v>
      </c>
      <c r="H298" s="9" t="s">
        <v>35</v>
      </c>
      <c r="I298" s="5" t="s">
        <v>1317</v>
      </c>
      <c r="J298" s="5" t="s">
        <v>1316</v>
      </c>
      <c r="K298" s="5"/>
      <c r="L298" s="5" t="s">
        <v>1532</v>
      </c>
      <c r="M298" s="5"/>
      <c r="N298" s="21" t="s">
        <v>1130</v>
      </c>
    </row>
    <row r="299" customFormat="false" ht="15" hidden="false" customHeight="true" outlineLevel="0" collapsed="false">
      <c r="A299" s="5" t="n">
        <v>298</v>
      </c>
      <c r="B299" s="6" t="s">
        <v>426</v>
      </c>
      <c r="C299" s="5" t="s">
        <v>427</v>
      </c>
      <c r="D299" s="5" t="s">
        <v>428</v>
      </c>
      <c r="E299" s="5" t="s">
        <v>307</v>
      </c>
      <c r="F299" s="5" t="s">
        <v>17</v>
      </c>
      <c r="G299" s="5" t="s">
        <v>429</v>
      </c>
      <c r="H299" s="9" t="s">
        <v>35</v>
      </c>
      <c r="I299" s="5" t="s">
        <v>1317</v>
      </c>
      <c r="J299" s="5" t="s">
        <v>1316</v>
      </c>
      <c r="K299" s="5"/>
      <c r="L299" s="5"/>
      <c r="M299" s="5"/>
      <c r="N299" s="19" t="s">
        <v>258</v>
      </c>
    </row>
    <row r="300" customFormat="false" ht="15" hidden="false" customHeight="true" outlineLevel="0" collapsed="false">
      <c r="A300" s="5" t="n">
        <v>299</v>
      </c>
      <c r="B300" s="6" t="s">
        <v>430</v>
      </c>
      <c r="C300" s="5" t="s">
        <v>431</v>
      </c>
      <c r="D300" s="5" t="s">
        <v>432</v>
      </c>
      <c r="E300" s="5" t="s">
        <v>16</v>
      </c>
      <c r="F300" s="5" t="s">
        <v>33</v>
      </c>
      <c r="G300" s="5" t="s">
        <v>433</v>
      </c>
      <c r="H300" s="9" t="s">
        <v>35</v>
      </c>
      <c r="I300" s="5" t="s">
        <v>1348</v>
      </c>
      <c r="J300" s="5" t="s">
        <v>1338</v>
      </c>
      <c r="K300" s="5"/>
      <c r="L300" s="5"/>
      <c r="M300" s="5"/>
      <c r="N300" s="19" t="s">
        <v>258</v>
      </c>
    </row>
    <row r="301" customFormat="false" ht="15" hidden="false" customHeight="true" outlineLevel="0" collapsed="false">
      <c r="A301" s="5" t="n">
        <v>300</v>
      </c>
      <c r="B301" s="6" t="s">
        <v>782</v>
      </c>
      <c r="C301" s="5" t="s">
        <v>783</v>
      </c>
      <c r="D301" s="5" t="s">
        <v>784</v>
      </c>
      <c r="E301" s="5" t="s">
        <v>347</v>
      </c>
      <c r="F301" s="5" t="s">
        <v>17</v>
      </c>
      <c r="G301" s="5" t="s">
        <v>190</v>
      </c>
      <c r="H301" s="8" t="s">
        <v>28</v>
      </c>
      <c r="I301" s="5" t="s">
        <v>1317</v>
      </c>
      <c r="J301" s="5" t="s">
        <v>1316</v>
      </c>
      <c r="K301" s="5"/>
      <c r="L301" s="5" t="s">
        <v>1533</v>
      </c>
      <c r="M301" s="5"/>
      <c r="N301" s="20" t="s">
        <v>657</v>
      </c>
    </row>
    <row r="302" customFormat="false" ht="15" hidden="false" customHeight="true" outlineLevel="0" collapsed="false">
      <c r="A302" s="5" t="n">
        <v>301</v>
      </c>
      <c r="B302" s="6" t="s">
        <v>434</v>
      </c>
      <c r="C302" s="5" t="s">
        <v>435</v>
      </c>
      <c r="D302" s="5" t="s">
        <v>436</v>
      </c>
      <c r="E302" s="5" t="s">
        <v>304</v>
      </c>
      <c r="F302" s="5" t="s">
        <v>17</v>
      </c>
      <c r="G302" s="5" t="s">
        <v>437</v>
      </c>
      <c r="H302" s="9" t="s">
        <v>35</v>
      </c>
      <c r="I302" s="5" t="s">
        <v>1362</v>
      </c>
      <c r="J302" s="5" t="s">
        <v>1358</v>
      </c>
      <c r="K302" s="5"/>
      <c r="L302" s="5"/>
      <c r="M302" s="5"/>
      <c r="N302" s="19" t="s">
        <v>258</v>
      </c>
    </row>
    <row r="303" customFormat="false" ht="15" hidden="false" customHeight="true" outlineLevel="0" collapsed="false">
      <c r="A303" s="5" t="n">
        <v>302</v>
      </c>
      <c r="B303" s="6" t="s">
        <v>622</v>
      </c>
      <c r="C303" s="5" t="s">
        <v>623</v>
      </c>
      <c r="D303" s="5" t="s">
        <v>624</v>
      </c>
      <c r="E303" s="5" t="s">
        <v>625</v>
      </c>
      <c r="F303" s="5" t="s">
        <v>17</v>
      </c>
      <c r="G303" s="5" t="s">
        <v>566</v>
      </c>
      <c r="H303" s="7" t="s">
        <v>19</v>
      </c>
      <c r="I303" s="5" t="s">
        <v>1317</v>
      </c>
      <c r="J303" s="5" t="s">
        <v>1316</v>
      </c>
      <c r="K303" s="5"/>
      <c r="L303" s="5"/>
      <c r="M303" s="5"/>
      <c r="N303" s="22" t="s">
        <v>462</v>
      </c>
    </row>
    <row r="304" customFormat="false" ht="15" hidden="false" customHeight="true" outlineLevel="0" collapsed="false">
      <c r="A304" s="5" t="n">
        <v>303</v>
      </c>
      <c r="B304" s="6" t="s">
        <v>956</v>
      </c>
      <c r="C304" s="5"/>
      <c r="D304" s="5" t="s">
        <v>957</v>
      </c>
      <c r="E304" s="5" t="s">
        <v>347</v>
      </c>
      <c r="F304" s="5" t="s">
        <v>17</v>
      </c>
      <c r="G304" s="5" t="s">
        <v>958</v>
      </c>
      <c r="H304" s="9" t="s">
        <v>35</v>
      </c>
      <c r="I304" s="5" t="s">
        <v>1315</v>
      </c>
      <c r="J304" s="5" t="s">
        <v>1316</v>
      </c>
      <c r="K304" s="5" t="s">
        <v>1534</v>
      </c>
      <c r="L304" s="5"/>
      <c r="M304" s="5"/>
      <c r="N304" s="23" t="s">
        <v>810</v>
      </c>
    </row>
    <row r="305" customFormat="false" ht="15" hidden="false" customHeight="true" outlineLevel="0" collapsed="false">
      <c r="A305" s="5" t="n">
        <v>304</v>
      </c>
      <c r="B305" s="6" t="s">
        <v>1118</v>
      </c>
      <c r="C305" s="5"/>
      <c r="D305" s="5" t="s">
        <v>1119</v>
      </c>
      <c r="E305" s="5" t="s">
        <v>357</v>
      </c>
      <c r="F305" s="5" t="s">
        <v>17</v>
      </c>
      <c r="G305" s="5" t="s">
        <v>202</v>
      </c>
      <c r="H305" s="8" t="s">
        <v>28</v>
      </c>
      <c r="I305" s="5" t="s">
        <v>1317</v>
      </c>
      <c r="J305" s="5" t="s">
        <v>1316</v>
      </c>
      <c r="K305" s="5"/>
      <c r="L305" s="5"/>
      <c r="M305" s="5"/>
      <c r="N305" s="18" t="s">
        <v>980</v>
      </c>
    </row>
    <row r="306" customFormat="false" ht="15" hidden="false" customHeight="true" outlineLevel="0" collapsed="false">
      <c r="A306" s="5" t="n">
        <v>305</v>
      </c>
      <c r="B306" s="6" t="s">
        <v>626</v>
      </c>
      <c r="C306" s="5" t="s">
        <v>627</v>
      </c>
      <c r="D306" s="5" t="s">
        <v>95</v>
      </c>
      <c r="E306" s="5" t="s">
        <v>628</v>
      </c>
      <c r="F306" s="5" t="s">
        <v>195</v>
      </c>
      <c r="G306" s="5" t="s">
        <v>629</v>
      </c>
      <c r="H306" s="8" t="s">
        <v>28</v>
      </c>
      <c r="I306" s="5" t="s">
        <v>1315</v>
      </c>
      <c r="J306" s="5" t="s">
        <v>1316</v>
      </c>
      <c r="K306" s="5"/>
      <c r="L306" s="5" t="s">
        <v>1535</v>
      </c>
      <c r="M306" s="5"/>
      <c r="N306" s="22" t="s">
        <v>462</v>
      </c>
    </row>
    <row r="307" customFormat="false" ht="15" hidden="false" customHeight="true" outlineLevel="0" collapsed="false">
      <c r="A307" s="5" t="n">
        <v>306</v>
      </c>
      <c r="B307" s="6" t="s">
        <v>239</v>
      </c>
      <c r="C307" s="5" t="s">
        <v>240</v>
      </c>
      <c r="D307" s="5" t="s">
        <v>45</v>
      </c>
      <c r="E307" s="5" t="s">
        <v>32</v>
      </c>
      <c r="F307" s="5" t="s">
        <v>17</v>
      </c>
      <c r="G307" s="5" t="s">
        <v>241</v>
      </c>
      <c r="H307" s="10" t="s">
        <v>56</v>
      </c>
      <c r="I307" s="5" t="s">
        <v>1317</v>
      </c>
      <c r="J307" s="5" t="s">
        <v>1316</v>
      </c>
      <c r="K307" s="5" t="s">
        <v>1536</v>
      </c>
      <c r="L307" s="5" t="s">
        <v>1537</v>
      </c>
      <c r="M307" s="5"/>
      <c r="N307" s="17" t="s">
        <v>13</v>
      </c>
    </row>
    <row r="308" customFormat="false" ht="15" hidden="false" customHeight="true" outlineLevel="0" collapsed="false">
      <c r="A308" s="5" t="n">
        <v>307</v>
      </c>
      <c r="B308" s="6" t="s">
        <v>959</v>
      </c>
      <c r="C308" s="5" t="s">
        <v>960</v>
      </c>
      <c r="D308" s="5" t="s">
        <v>961</v>
      </c>
      <c r="E308" s="5" t="s">
        <v>962</v>
      </c>
      <c r="F308" s="5" t="s">
        <v>139</v>
      </c>
      <c r="G308" s="5" t="s">
        <v>963</v>
      </c>
      <c r="H308" s="10" t="s">
        <v>56</v>
      </c>
      <c r="I308" s="5" t="s">
        <v>1317</v>
      </c>
      <c r="J308" s="5" t="s">
        <v>1316</v>
      </c>
      <c r="K308" s="5"/>
      <c r="L308" s="5"/>
      <c r="M308" s="5"/>
      <c r="N308" s="23" t="s">
        <v>810</v>
      </c>
    </row>
    <row r="309" customFormat="false" ht="15" hidden="false" customHeight="true" outlineLevel="0" collapsed="false">
      <c r="A309" s="5" t="n">
        <v>308</v>
      </c>
      <c r="B309" s="6" t="s">
        <v>785</v>
      </c>
      <c r="C309" s="5" t="s">
        <v>786</v>
      </c>
      <c r="D309" s="5" t="s">
        <v>787</v>
      </c>
      <c r="E309" s="5" t="s">
        <v>357</v>
      </c>
      <c r="F309" s="5" t="s">
        <v>17</v>
      </c>
      <c r="G309" s="5" t="s">
        <v>788</v>
      </c>
      <c r="H309" s="9" t="s">
        <v>35</v>
      </c>
      <c r="I309" s="5" t="s">
        <v>1317</v>
      </c>
      <c r="J309" s="5" t="s">
        <v>1316</v>
      </c>
      <c r="K309" s="5"/>
      <c r="L309" s="5"/>
      <c r="M309" s="5"/>
      <c r="N309" s="20" t="s">
        <v>657</v>
      </c>
    </row>
    <row r="310" customFormat="false" ht="15" hidden="false" customHeight="true" outlineLevel="0" collapsed="false">
      <c r="A310" s="5" t="n">
        <v>309</v>
      </c>
      <c r="B310" s="6" t="s">
        <v>789</v>
      </c>
      <c r="C310" s="5" t="s">
        <v>790</v>
      </c>
      <c r="D310" s="5" t="s">
        <v>95</v>
      </c>
      <c r="E310" s="5" t="s">
        <v>791</v>
      </c>
      <c r="F310" s="5" t="s">
        <v>97</v>
      </c>
      <c r="G310" s="5" t="s">
        <v>412</v>
      </c>
      <c r="H310" s="7" t="s">
        <v>19</v>
      </c>
      <c r="I310" s="5" t="s">
        <v>1315</v>
      </c>
      <c r="J310" s="5" t="s">
        <v>1316</v>
      </c>
      <c r="K310" s="5"/>
      <c r="L310" s="5" t="s">
        <v>1538</v>
      </c>
      <c r="M310" s="5"/>
      <c r="N310" s="20" t="s">
        <v>657</v>
      </c>
    </row>
    <row r="311" customFormat="false" ht="15" hidden="false" customHeight="true" outlineLevel="0" collapsed="false">
      <c r="A311" s="5" t="n">
        <v>310</v>
      </c>
      <c r="B311" s="6" t="s">
        <v>242</v>
      </c>
      <c r="C311" s="5" t="s">
        <v>243</v>
      </c>
      <c r="D311" s="5" t="s">
        <v>227</v>
      </c>
      <c r="E311" s="5" t="s">
        <v>133</v>
      </c>
      <c r="F311" s="5" t="s">
        <v>17</v>
      </c>
      <c r="G311" s="5" t="s">
        <v>229</v>
      </c>
      <c r="H311" s="7" t="s">
        <v>19</v>
      </c>
      <c r="I311" s="5" t="s">
        <v>1407</v>
      </c>
      <c r="J311" s="5" t="s">
        <v>1408</v>
      </c>
      <c r="K311" s="5"/>
      <c r="L311" s="5" t="s">
        <v>1321</v>
      </c>
      <c r="M311" s="5"/>
      <c r="N311" s="17" t="s">
        <v>13</v>
      </c>
    </row>
    <row r="312" customFormat="false" ht="23.25" hidden="false" customHeight="true" outlineLevel="0" collapsed="false">
      <c r="A312" s="5" t="n">
        <v>311</v>
      </c>
      <c r="B312" s="6" t="s">
        <v>1120</v>
      </c>
      <c r="C312" s="5"/>
      <c r="D312" s="5" t="s">
        <v>1121</v>
      </c>
      <c r="E312" s="5" t="s">
        <v>569</v>
      </c>
      <c r="F312" s="5" t="s">
        <v>17</v>
      </c>
      <c r="G312" s="5" t="s">
        <v>1122</v>
      </c>
      <c r="H312" s="10" t="s">
        <v>56</v>
      </c>
      <c r="I312" s="5" t="s">
        <v>1317</v>
      </c>
      <c r="J312" s="5" t="s">
        <v>1316</v>
      </c>
      <c r="K312" s="5"/>
      <c r="L312" s="5"/>
      <c r="M312" s="5"/>
      <c r="N312" s="18" t="s">
        <v>980</v>
      </c>
    </row>
    <row r="313" customFormat="false" ht="23.25" hidden="false" customHeight="true" outlineLevel="0" collapsed="false">
      <c r="A313" s="5" t="n">
        <v>312</v>
      </c>
      <c r="B313" s="6" t="s">
        <v>964</v>
      </c>
      <c r="C313" s="5" t="s">
        <v>965</v>
      </c>
      <c r="D313" s="5" t="s">
        <v>183</v>
      </c>
      <c r="E313" s="5" t="s">
        <v>395</v>
      </c>
      <c r="F313" s="5" t="s">
        <v>299</v>
      </c>
      <c r="G313" s="5" t="s">
        <v>966</v>
      </c>
      <c r="H313" s="7" t="s">
        <v>19</v>
      </c>
      <c r="I313" s="5" t="s">
        <v>1317</v>
      </c>
      <c r="J313" s="5" t="s">
        <v>1316</v>
      </c>
      <c r="K313" s="5"/>
      <c r="L313" s="5" t="s">
        <v>1539</v>
      </c>
      <c r="M313" s="5"/>
      <c r="N313" s="23" t="s">
        <v>810</v>
      </c>
    </row>
    <row r="314" customFormat="false" ht="15" hidden="false" customHeight="true" outlineLevel="0" collapsed="false">
      <c r="A314" s="5" t="n">
        <v>313</v>
      </c>
      <c r="B314" s="6" t="s">
        <v>1276</v>
      </c>
      <c r="C314" s="5"/>
      <c r="D314" s="5" t="s">
        <v>1277</v>
      </c>
      <c r="E314" s="5" t="s">
        <v>569</v>
      </c>
      <c r="F314" s="5" t="s">
        <v>109</v>
      </c>
      <c r="G314" s="5" t="s">
        <v>1278</v>
      </c>
      <c r="H314" s="9" t="s">
        <v>35</v>
      </c>
      <c r="I314" s="5" t="s">
        <v>1317</v>
      </c>
      <c r="J314" s="5" t="s">
        <v>1316</v>
      </c>
      <c r="K314" s="5"/>
      <c r="L314" s="5" t="s">
        <v>1540</v>
      </c>
      <c r="M314" s="5"/>
      <c r="N314" s="21" t="s">
        <v>1130</v>
      </c>
    </row>
    <row r="315" customFormat="false" ht="15" hidden="false" customHeight="true" outlineLevel="0" collapsed="false">
      <c r="A315" s="5" t="n">
        <v>314</v>
      </c>
      <c r="B315" s="6" t="s">
        <v>439</v>
      </c>
      <c r="C315" s="5" t="s">
        <v>440</v>
      </c>
      <c r="D315" s="5" t="s">
        <v>346</v>
      </c>
      <c r="E315" s="5" t="s">
        <v>441</v>
      </c>
      <c r="F315" s="5" t="s">
        <v>17</v>
      </c>
      <c r="G315" s="5" t="s">
        <v>442</v>
      </c>
      <c r="H315" s="8" t="s">
        <v>28</v>
      </c>
      <c r="I315" s="5" t="s">
        <v>1317</v>
      </c>
      <c r="J315" s="5" t="s">
        <v>1316</v>
      </c>
      <c r="K315" s="5"/>
      <c r="L315" s="5"/>
      <c r="M315" s="5"/>
      <c r="N315" s="19" t="s">
        <v>258</v>
      </c>
    </row>
    <row r="316" customFormat="false" ht="15" hidden="false" customHeight="true" outlineLevel="0" collapsed="false">
      <c r="A316" s="5" t="n">
        <v>315</v>
      </c>
      <c r="B316" s="6" t="s">
        <v>967</v>
      </c>
      <c r="C316" s="5" t="s">
        <v>968</v>
      </c>
      <c r="D316" s="5" t="s">
        <v>969</v>
      </c>
      <c r="E316" s="5" t="s">
        <v>970</v>
      </c>
      <c r="F316" s="5" t="s">
        <v>471</v>
      </c>
      <c r="G316" s="5" t="s">
        <v>472</v>
      </c>
      <c r="H316" s="10" t="s">
        <v>56</v>
      </c>
      <c r="I316" s="5" t="s">
        <v>1317</v>
      </c>
      <c r="J316" s="5" t="s">
        <v>1316</v>
      </c>
      <c r="K316" s="5"/>
      <c r="L316" s="5"/>
      <c r="M316" s="5"/>
      <c r="N316" s="23" t="s">
        <v>810</v>
      </c>
    </row>
    <row r="317" customFormat="false" ht="15" hidden="false" customHeight="true" outlineLevel="0" collapsed="false">
      <c r="A317" s="5" t="n">
        <v>316</v>
      </c>
      <c r="B317" s="6" t="s">
        <v>443</v>
      </c>
      <c r="C317" s="5" t="s">
        <v>444</v>
      </c>
      <c r="D317" s="5" t="s">
        <v>445</v>
      </c>
      <c r="E317" s="5" t="s">
        <v>446</v>
      </c>
      <c r="F317" s="5" t="s">
        <v>139</v>
      </c>
      <c r="G317" s="5" t="s">
        <v>447</v>
      </c>
      <c r="H317" s="7" t="s">
        <v>19</v>
      </c>
      <c r="I317" s="5" t="s">
        <v>1317</v>
      </c>
      <c r="J317" s="5" t="s">
        <v>1316</v>
      </c>
      <c r="K317" s="5" t="s">
        <v>1541</v>
      </c>
      <c r="L317" s="5" t="s">
        <v>1542</v>
      </c>
      <c r="M317" s="5"/>
      <c r="N317" s="19" t="s">
        <v>258</v>
      </c>
    </row>
    <row r="318" customFormat="false" ht="15" hidden="false" customHeight="true" outlineLevel="0" collapsed="false">
      <c r="A318" s="5" t="n">
        <v>317</v>
      </c>
      <c r="B318" s="6" t="s">
        <v>792</v>
      </c>
      <c r="C318" s="5"/>
      <c r="D318" s="5" t="s">
        <v>793</v>
      </c>
      <c r="E318" s="5" t="s">
        <v>165</v>
      </c>
      <c r="F318" s="5" t="s">
        <v>17</v>
      </c>
      <c r="G318" s="5" t="s">
        <v>190</v>
      </c>
      <c r="H318" s="10" t="s">
        <v>56</v>
      </c>
      <c r="I318" s="5" t="s">
        <v>1317</v>
      </c>
      <c r="J318" s="5" t="s">
        <v>1316</v>
      </c>
      <c r="K318" s="5" t="s">
        <v>1543</v>
      </c>
      <c r="L318" s="5" t="s">
        <v>1544</v>
      </c>
      <c r="M318" s="5"/>
      <c r="N318" s="20" t="s">
        <v>657</v>
      </c>
    </row>
    <row r="319" customFormat="false" ht="23.25" hidden="false" customHeight="true" outlineLevel="0" collapsed="false">
      <c r="A319" s="5" t="n">
        <v>318</v>
      </c>
      <c r="B319" s="6" t="s">
        <v>794</v>
      </c>
      <c r="C319" s="5"/>
      <c r="D319" s="5" t="s">
        <v>795</v>
      </c>
      <c r="E319" s="5" t="s">
        <v>796</v>
      </c>
      <c r="F319" s="5" t="s">
        <v>17</v>
      </c>
      <c r="G319" s="5" t="s">
        <v>797</v>
      </c>
      <c r="H319" s="7" t="s">
        <v>19</v>
      </c>
      <c r="I319" s="5" t="s">
        <v>1317</v>
      </c>
      <c r="J319" s="5" t="s">
        <v>1316</v>
      </c>
      <c r="K319" s="5"/>
      <c r="L319" s="5" t="s">
        <v>1545</v>
      </c>
      <c r="M319" s="5"/>
      <c r="N319" s="20" t="s">
        <v>657</v>
      </c>
    </row>
    <row r="320" customFormat="false" ht="15" hidden="false" customHeight="true" outlineLevel="0" collapsed="false">
      <c r="A320" s="5" t="n">
        <v>319</v>
      </c>
      <c r="B320" s="6" t="s">
        <v>798</v>
      </c>
      <c r="C320" s="5" t="s">
        <v>799</v>
      </c>
      <c r="D320" s="5" t="s">
        <v>174</v>
      </c>
      <c r="E320" s="5" t="s">
        <v>145</v>
      </c>
      <c r="F320" s="5" t="s">
        <v>17</v>
      </c>
      <c r="G320" s="5" t="s">
        <v>146</v>
      </c>
      <c r="H320" s="8" t="s">
        <v>28</v>
      </c>
      <c r="I320" s="5" t="s">
        <v>1317</v>
      </c>
      <c r="J320" s="5" t="s">
        <v>1316</v>
      </c>
      <c r="K320" s="5"/>
      <c r="L320" s="5"/>
      <c r="M320" s="5"/>
      <c r="N320" s="20" t="s">
        <v>657</v>
      </c>
    </row>
    <row r="321" customFormat="false" ht="15" hidden="false" customHeight="true" outlineLevel="0" collapsed="false">
      <c r="A321" s="5" t="n">
        <v>320</v>
      </c>
      <c r="B321" s="6" t="s">
        <v>244</v>
      </c>
      <c r="C321" s="5" t="s">
        <v>245</v>
      </c>
      <c r="D321" s="5" t="s">
        <v>246</v>
      </c>
      <c r="E321" s="5" t="s">
        <v>247</v>
      </c>
      <c r="F321" s="5" t="s">
        <v>17</v>
      </c>
      <c r="G321" s="5" t="s">
        <v>248</v>
      </c>
      <c r="H321" s="8" t="s">
        <v>28</v>
      </c>
      <c r="I321" s="5" t="s">
        <v>1317</v>
      </c>
      <c r="J321" s="5" t="s">
        <v>1316</v>
      </c>
      <c r="K321" s="5" t="s">
        <v>1546</v>
      </c>
      <c r="L321" s="5"/>
      <c r="M321" s="5"/>
      <c r="N321" s="17" t="s">
        <v>13</v>
      </c>
    </row>
    <row r="322" customFormat="false" ht="15" hidden="false" customHeight="true" outlineLevel="0" collapsed="false">
      <c r="A322" s="5" t="n">
        <v>321</v>
      </c>
      <c r="B322" s="6" t="s">
        <v>971</v>
      </c>
      <c r="C322" s="5"/>
      <c r="D322" s="5" t="s">
        <v>482</v>
      </c>
      <c r="E322" s="5" t="s">
        <v>569</v>
      </c>
      <c r="F322" s="5" t="s">
        <v>139</v>
      </c>
      <c r="G322" s="5" t="s">
        <v>972</v>
      </c>
      <c r="H322" s="9" t="s">
        <v>35</v>
      </c>
      <c r="I322" s="5" t="s">
        <v>1317</v>
      </c>
      <c r="J322" s="5" t="s">
        <v>1316</v>
      </c>
      <c r="K322" s="5"/>
      <c r="L322" s="5" t="s">
        <v>1547</v>
      </c>
      <c r="M322" s="5"/>
      <c r="N322" s="23" t="s">
        <v>810</v>
      </c>
    </row>
    <row r="323" customFormat="false" ht="15" hidden="false" customHeight="true" outlineLevel="0" collapsed="false">
      <c r="A323" s="5" t="n">
        <v>322</v>
      </c>
      <c r="B323" s="6" t="s">
        <v>1123</v>
      </c>
      <c r="C323" s="5" t="s">
        <v>1124</v>
      </c>
      <c r="D323" s="5" t="s">
        <v>1094</v>
      </c>
      <c r="E323" s="5" t="s">
        <v>201</v>
      </c>
      <c r="F323" s="5" t="s">
        <v>139</v>
      </c>
      <c r="G323" s="5" t="s">
        <v>139</v>
      </c>
      <c r="H323" s="9" t="s">
        <v>35</v>
      </c>
      <c r="I323" s="5" t="s">
        <v>1317</v>
      </c>
      <c r="J323" s="5" t="s">
        <v>1316</v>
      </c>
      <c r="K323" s="5"/>
      <c r="L323" s="5"/>
      <c r="M323" s="5"/>
      <c r="N323" s="18" t="s">
        <v>980</v>
      </c>
    </row>
    <row r="324" customFormat="false" ht="15" hidden="false" customHeight="true" outlineLevel="0" collapsed="false">
      <c r="A324" s="5" t="n">
        <v>323</v>
      </c>
      <c r="B324" s="6" t="s">
        <v>448</v>
      </c>
      <c r="C324" s="5" t="s">
        <v>449</v>
      </c>
      <c r="D324" s="5" t="s">
        <v>450</v>
      </c>
      <c r="E324" s="5" t="s">
        <v>373</v>
      </c>
      <c r="F324" s="5" t="s">
        <v>17</v>
      </c>
      <c r="G324" s="5" t="s">
        <v>134</v>
      </c>
      <c r="H324" s="8" t="s">
        <v>28</v>
      </c>
      <c r="I324" s="5" t="s">
        <v>1376</v>
      </c>
      <c r="J324" s="5" t="s">
        <v>1316</v>
      </c>
      <c r="K324" s="5"/>
      <c r="L324" s="5" t="s">
        <v>1548</v>
      </c>
      <c r="M324" s="5"/>
      <c r="N324" s="19" t="s">
        <v>258</v>
      </c>
    </row>
    <row r="325" customFormat="false" ht="15" hidden="false" customHeight="true" outlineLevel="0" collapsed="false">
      <c r="A325" s="5" t="n">
        <v>324</v>
      </c>
      <c r="B325" s="6" t="s">
        <v>630</v>
      </c>
      <c r="C325" s="5" t="s">
        <v>631</v>
      </c>
      <c r="D325" s="5" t="s">
        <v>632</v>
      </c>
      <c r="E325" s="5" t="s">
        <v>633</v>
      </c>
      <c r="F325" s="5" t="s">
        <v>17</v>
      </c>
      <c r="G325" s="5" t="s">
        <v>634</v>
      </c>
      <c r="H325" s="7" t="s">
        <v>19</v>
      </c>
      <c r="I325" s="5" t="s">
        <v>1317</v>
      </c>
      <c r="J325" s="5" t="s">
        <v>1316</v>
      </c>
      <c r="K325" s="5"/>
      <c r="L325" s="5"/>
      <c r="M325" s="5"/>
      <c r="N325" s="22" t="s">
        <v>462</v>
      </c>
    </row>
    <row r="326" customFormat="false" ht="23.25" hidden="false" customHeight="true" outlineLevel="0" collapsed="false">
      <c r="A326" s="5" t="n">
        <v>325</v>
      </c>
      <c r="B326" s="6" t="s">
        <v>800</v>
      </c>
      <c r="C326" s="5"/>
      <c r="D326" s="5" t="s">
        <v>801</v>
      </c>
      <c r="E326" s="5" t="s">
        <v>347</v>
      </c>
      <c r="F326" s="5" t="s">
        <v>17</v>
      </c>
      <c r="G326" s="5" t="s">
        <v>336</v>
      </c>
      <c r="H326" s="9" t="s">
        <v>35</v>
      </c>
      <c r="I326" s="5" t="s">
        <v>1549</v>
      </c>
      <c r="J326" s="5" t="s">
        <v>1316</v>
      </c>
      <c r="K326" s="5" t="s">
        <v>1550</v>
      </c>
      <c r="L326" s="5"/>
      <c r="M326" s="5"/>
      <c r="N326" s="20" t="s">
        <v>657</v>
      </c>
    </row>
    <row r="327" customFormat="false" ht="15" hidden="false" customHeight="true" outlineLevel="0" collapsed="false">
      <c r="A327" s="5" t="n">
        <v>326</v>
      </c>
      <c r="B327" s="6" t="s">
        <v>973</v>
      </c>
      <c r="C327" s="5" t="s">
        <v>974</v>
      </c>
      <c r="D327" s="5" t="s">
        <v>975</v>
      </c>
      <c r="E327" s="5" t="s">
        <v>108</v>
      </c>
      <c r="F327" s="5" t="s">
        <v>17</v>
      </c>
      <c r="G327" s="5" t="s">
        <v>874</v>
      </c>
      <c r="H327" s="7" t="s">
        <v>19</v>
      </c>
      <c r="I327" s="5" t="s">
        <v>1317</v>
      </c>
      <c r="J327" s="5" t="s">
        <v>1316</v>
      </c>
      <c r="K327" s="5"/>
      <c r="L327" s="5"/>
      <c r="M327" s="5"/>
      <c r="N327" s="23" t="s">
        <v>810</v>
      </c>
    </row>
    <row r="328" customFormat="false" ht="15" hidden="false" customHeight="true" outlineLevel="0" collapsed="false">
      <c r="A328" s="5" t="n">
        <v>327</v>
      </c>
      <c r="B328" s="6" t="s">
        <v>635</v>
      </c>
      <c r="C328" s="5" t="s">
        <v>636</v>
      </c>
      <c r="D328" s="5" t="s">
        <v>637</v>
      </c>
      <c r="E328" s="5" t="s">
        <v>638</v>
      </c>
      <c r="F328" s="5" t="s">
        <v>17</v>
      </c>
      <c r="G328" s="5" t="s">
        <v>639</v>
      </c>
      <c r="H328" s="10" t="s">
        <v>56</v>
      </c>
      <c r="I328" s="5" t="s">
        <v>1315</v>
      </c>
      <c r="J328" s="5" t="s">
        <v>1316</v>
      </c>
      <c r="K328" s="5"/>
      <c r="L328" s="5"/>
      <c r="M328" s="5"/>
      <c r="N328" s="22" t="s">
        <v>462</v>
      </c>
    </row>
    <row r="329" customFormat="false" ht="15" hidden="false" customHeight="true" outlineLevel="0" collapsed="false">
      <c r="A329" s="5" t="n">
        <v>328</v>
      </c>
      <c r="B329" s="6" t="s">
        <v>1280</v>
      </c>
      <c r="C329" s="5"/>
      <c r="D329" s="5" t="s">
        <v>1281</v>
      </c>
      <c r="E329" s="5" t="s">
        <v>569</v>
      </c>
      <c r="F329" s="5" t="s">
        <v>33</v>
      </c>
      <c r="G329" s="5" t="s">
        <v>727</v>
      </c>
      <c r="H329" s="9" t="s">
        <v>35</v>
      </c>
      <c r="I329" s="5" t="s">
        <v>1317</v>
      </c>
      <c r="J329" s="5" t="s">
        <v>1316</v>
      </c>
      <c r="K329" s="5"/>
      <c r="L329" s="5" t="s">
        <v>1551</v>
      </c>
      <c r="M329" s="5"/>
      <c r="N329" s="21" t="s">
        <v>1130</v>
      </c>
    </row>
    <row r="330" customFormat="false" ht="15" hidden="false" customHeight="true" outlineLevel="0" collapsed="false">
      <c r="A330" s="5" t="n">
        <v>329</v>
      </c>
      <c r="B330" s="6" t="s">
        <v>452</v>
      </c>
      <c r="C330" s="5" t="s">
        <v>453</v>
      </c>
      <c r="D330" s="5" t="s">
        <v>454</v>
      </c>
      <c r="E330" s="5" t="s">
        <v>455</v>
      </c>
      <c r="F330" s="5" t="s">
        <v>97</v>
      </c>
      <c r="G330" s="5" t="s">
        <v>229</v>
      </c>
      <c r="H330" s="9" t="s">
        <v>35</v>
      </c>
      <c r="I330" s="5" t="s">
        <v>1376</v>
      </c>
      <c r="J330" s="5" t="s">
        <v>1338</v>
      </c>
      <c r="K330" s="5" t="s">
        <v>1552</v>
      </c>
      <c r="L330" s="5"/>
      <c r="M330" s="5"/>
      <c r="N330" s="19" t="s">
        <v>258</v>
      </c>
    </row>
    <row r="331" customFormat="false" ht="15" hidden="false" customHeight="true" outlineLevel="0" collapsed="false">
      <c r="A331" s="5" t="n">
        <v>330</v>
      </c>
      <c r="B331" s="6" t="s">
        <v>640</v>
      </c>
      <c r="C331" s="5"/>
      <c r="D331" s="5" t="s">
        <v>641</v>
      </c>
      <c r="E331" s="5" t="s">
        <v>642</v>
      </c>
      <c r="F331" s="5" t="s">
        <v>33</v>
      </c>
      <c r="G331" s="5" t="s">
        <v>643</v>
      </c>
      <c r="H331" s="10" t="s">
        <v>56</v>
      </c>
      <c r="I331" s="5" t="s">
        <v>1317</v>
      </c>
      <c r="J331" s="5" t="s">
        <v>1316</v>
      </c>
      <c r="K331" s="5"/>
      <c r="L331" s="5" t="s">
        <v>1553</v>
      </c>
      <c r="M331" s="5"/>
      <c r="N331" s="22" t="s">
        <v>462</v>
      </c>
    </row>
    <row r="332" customFormat="false" ht="23.25" hidden="false" customHeight="true" outlineLevel="0" collapsed="false">
      <c r="A332" s="5" t="n">
        <v>331</v>
      </c>
      <c r="B332" s="6" t="s">
        <v>1125</v>
      </c>
      <c r="C332" s="5" t="s">
        <v>1126</v>
      </c>
      <c r="D332" s="5" t="s">
        <v>1127</v>
      </c>
      <c r="E332" s="5" t="s">
        <v>1128</v>
      </c>
      <c r="F332" s="5" t="s">
        <v>17</v>
      </c>
      <c r="G332" s="5" t="s">
        <v>1129</v>
      </c>
      <c r="H332" s="10" t="s">
        <v>56</v>
      </c>
      <c r="I332" s="5" t="s">
        <v>1554</v>
      </c>
      <c r="J332" s="5" t="s">
        <v>1408</v>
      </c>
      <c r="K332" s="5"/>
      <c r="L332" s="5" t="s">
        <v>1555</v>
      </c>
      <c r="M332" s="5"/>
      <c r="N332" s="18" t="s">
        <v>980</v>
      </c>
    </row>
    <row r="333" customFormat="false" ht="15" hidden="false" customHeight="true" outlineLevel="0" collapsed="false">
      <c r="A333" s="5" t="n">
        <v>332</v>
      </c>
      <c r="B333" s="6" t="s">
        <v>249</v>
      </c>
      <c r="C333" s="5" t="s">
        <v>250</v>
      </c>
      <c r="D333" s="5" t="s">
        <v>39</v>
      </c>
      <c r="E333" s="5" t="s">
        <v>251</v>
      </c>
      <c r="F333" s="5" t="s">
        <v>17</v>
      </c>
      <c r="G333" s="5" t="s">
        <v>252</v>
      </c>
      <c r="H333" s="7" t="s">
        <v>19</v>
      </c>
      <c r="I333" s="5" t="s">
        <v>1328</v>
      </c>
      <c r="J333" s="5" t="s">
        <v>1329</v>
      </c>
      <c r="K333" s="5"/>
      <c r="L333" s="5"/>
      <c r="M333" s="5"/>
      <c r="N333" s="17" t="s">
        <v>13</v>
      </c>
    </row>
    <row r="334" customFormat="false" ht="23.25" hidden="false" customHeight="true" outlineLevel="0" collapsed="false">
      <c r="A334" s="5" t="n">
        <v>333</v>
      </c>
      <c r="B334" s="6" t="s">
        <v>1283</v>
      </c>
      <c r="C334" s="5"/>
      <c r="D334" s="5" t="s">
        <v>1284</v>
      </c>
      <c r="E334" s="5" t="s">
        <v>304</v>
      </c>
      <c r="F334" s="5" t="s">
        <v>109</v>
      </c>
      <c r="G334" s="5" t="s">
        <v>1285</v>
      </c>
      <c r="H334" s="8" t="s">
        <v>28</v>
      </c>
      <c r="I334" s="5" t="s">
        <v>1317</v>
      </c>
      <c r="J334" s="5" t="s">
        <v>1316</v>
      </c>
      <c r="K334" s="5"/>
      <c r="L334" s="5"/>
      <c r="M334" s="5"/>
      <c r="N334" s="21" t="s">
        <v>1130</v>
      </c>
    </row>
    <row r="335" customFormat="false" ht="15" hidden="false" customHeight="true" outlineLevel="0" collapsed="false">
      <c r="A335" s="5" t="n">
        <v>334</v>
      </c>
      <c r="B335" s="6" t="s">
        <v>1287</v>
      </c>
      <c r="C335" s="5" t="s">
        <v>1288</v>
      </c>
      <c r="D335" s="5" t="s">
        <v>1289</v>
      </c>
      <c r="E335" s="5" t="s">
        <v>569</v>
      </c>
      <c r="F335" s="5" t="s">
        <v>1290</v>
      </c>
      <c r="G335" s="5" t="s">
        <v>1291</v>
      </c>
      <c r="H335" s="10" t="s">
        <v>56</v>
      </c>
      <c r="I335" s="5" t="s">
        <v>1317</v>
      </c>
      <c r="J335" s="5" t="s">
        <v>1316</v>
      </c>
      <c r="K335" s="5"/>
      <c r="L335" s="5" t="s">
        <v>1372</v>
      </c>
      <c r="M335" s="5"/>
      <c r="N335" s="21" t="s">
        <v>1130</v>
      </c>
    </row>
    <row r="336" customFormat="false" ht="15" hidden="false" customHeight="true" outlineLevel="0" collapsed="false">
      <c r="A336" s="5" t="n">
        <v>335</v>
      </c>
      <c r="B336" s="6" t="s">
        <v>976</v>
      </c>
      <c r="C336" s="5" t="s">
        <v>977</v>
      </c>
      <c r="D336" s="5" t="s">
        <v>978</v>
      </c>
      <c r="E336" s="5" t="s">
        <v>247</v>
      </c>
      <c r="F336" s="5" t="s">
        <v>17</v>
      </c>
      <c r="G336" s="5" t="s">
        <v>979</v>
      </c>
      <c r="H336" s="8" t="s">
        <v>28</v>
      </c>
      <c r="I336" s="5" t="s">
        <v>1317</v>
      </c>
      <c r="J336" s="5" t="s">
        <v>1316</v>
      </c>
      <c r="K336" s="5"/>
      <c r="L336" s="5"/>
      <c r="M336" s="5"/>
      <c r="N336" s="23" t="s">
        <v>810</v>
      </c>
    </row>
    <row r="337" customFormat="false" ht="15" hidden="false" customHeight="true" outlineLevel="0" collapsed="false">
      <c r="A337" s="5" t="n">
        <v>336</v>
      </c>
      <c r="B337" s="6" t="s">
        <v>802</v>
      </c>
      <c r="C337" s="5" t="s">
        <v>803</v>
      </c>
      <c r="D337" s="5" t="s">
        <v>804</v>
      </c>
      <c r="E337" s="5" t="s">
        <v>347</v>
      </c>
      <c r="F337" s="5" t="s">
        <v>17</v>
      </c>
      <c r="G337" s="5" t="s">
        <v>252</v>
      </c>
      <c r="H337" s="10" t="s">
        <v>56</v>
      </c>
      <c r="I337" s="5" t="s">
        <v>1317</v>
      </c>
      <c r="J337" s="5" t="s">
        <v>1316</v>
      </c>
      <c r="K337" s="5"/>
      <c r="L337" s="5" t="s">
        <v>1556</v>
      </c>
      <c r="M337" s="5"/>
      <c r="N337" s="20" t="s">
        <v>657</v>
      </c>
    </row>
    <row r="338" customFormat="false" ht="15" hidden="false" customHeight="true" outlineLevel="0" collapsed="false">
      <c r="A338" s="5" t="n">
        <v>337</v>
      </c>
      <c r="B338" s="6" t="s">
        <v>253</v>
      </c>
      <c r="C338" s="5" t="s">
        <v>254</v>
      </c>
      <c r="D338" s="5" t="s">
        <v>255</v>
      </c>
      <c r="E338" s="5" t="s">
        <v>113</v>
      </c>
      <c r="F338" s="5" t="s">
        <v>17</v>
      </c>
      <c r="G338" s="5" t="s">
        <v>114</v>
      </c>
      <c r="H338" s="7" t="s">
        <v>19</v>
      </c>
      <c r="I338" s="5" t="s">
        <v>1315</v>
      </c>
      <c r="J338" s="5" t="s">
        <v>1316</v>
      </c>
      <c r="K338" s="5"/>
      <c r="L338" s="5"/>
      <c r="M338" s="5"/>
      <c r="N338" s="17" t="s">
        <v>13</v>
      </c>
    </row>
    <row r="339" customFormat="false" ht="15" hidden="false" customHeight="true" outlineLevel="0" collapsed="false">
      <c r="A339" s="5" t="n">
        <v>338</v>
      </c>
      <c r="B339" s="6" t="s">
        <v>644</v>
      </c>
      <c r="C339" s="5" t="s">
        <v>645</v>
      </c>
      <c r="D339" s="5" t="s">
        <v>646</v>
      </c>
      <c r="E339" s="5" t="s">
        <v>647</v>
      </c>
      <c r="F339" s="5" t="s">
        <v>17</v>
      </c>
      <c r="G339" s="5" t="s">
        <v>161</v>
      </c>
      <c r="H339" s="10" t="s">
        <v>56</v>
      </c>
      <c r="I339" s="5" t="s">
        <v>1315</v>
      </c>
      <c r="J339" s="5" t="s">
        <v>1316</v>
      </c>
      <c r="K339" s="5"/>
      <c r="L339" s="5"/>
      <c r="M339" s="5"/>
      <c r="N339" s="22" t="s">
        <v>462</v>
      </c>
    </row>
    <row r="340" customFormat="false" ht="15" hidden="false" customHeight="true" outlineLevel="0" collapsed="false">
      <c r="A340" s="5" t="n">
        <v>339</v>
      </c>
      <c r="B340" s="6" t="s">
        <v>1292</v>
      </c>
      <c r="C340" s="5"/>
      <c r="D340" s="5" t="s">
        <v>1293</v>
      </c>
      <c r="E340" s="5"/>
      <c r="F340" s="5" t="s">
        <v>1229</v>
      </c>
      <c r="G340" s="5" t="s">
        <v>1294</v>
      </c>
      <c r="H340" s="9" t="s">
        <v>35</v>
      </c>
      <c r="I340" s="5" t="s">
        <v>1348</v>
      </c>
      <c r="J340" s="5" t="s">
        <v>1557</v>
      </c>
      <c r="K340" s="5"/>
      <c r="L340" s="5" t="s">
        <v>1558</v>
      </c>
      <c r="M340" s="5"/>
      <c r="N340" s="21" t="s">
        <v>1130</v>
      </c>
    </row>
    <row r="341" customFormat="false" ht="15" hidden="false" customHeight="true" outlineLevel="0" collapsed="false">
      <c r="A341" s="5" t="n">
        <v>340</v>
      </c>
      <c r="B341" s="6" t="s">
        <v>648</v>
      </c>
      <c r="C341" s="5"/>
      <c r="D341" s="5" t="s">
        <v>91</v>
      </c>
      <c r="E341" s="5" t="s">
        <v>649</v>
      </c>
      <c r="F341" s="5" t="s">
        <v>17</v>
      </c>
      <c r="G341" s="5" t="s">
        <v>603</v>
      </c>
      <c r="H341" s="7" t="s">
        <v>19</v>
      </c>
      <c r="I341" s="5" t="s">
        <v>1315</v>
      </c>
      <c r="J341" s="5" t="s">
        <v>1316</v>
      </c>
      <c r="K341" s="5"/>
      <c r="L341" s="5"/>
      <c r="M341" s="5"/>
      <c r="N341" s="22" t="s">
        <v>462</v>
      </c>
    </row>
    <row r="342" customFormat="false" ht="15" hidden="false" customHeight="true" outlineLevel="0" collapsed="false">
      <c r="A342" s="5" t="n">
        <v>341</v>
      </c>
      <c r="B342" s="6" t="s">
        <v>456</v>
      </c>
      <c r="C342" s="5" t="s">
        <v>457</v>
      </c>
      <c r="D342" s="5" t="s">
        <v>95</v>
      </c>
      <c r="E342" s="5" t="s">
        <v>458</v>
      </c>
      <c r="F342" s="5" t="s">
        <v>97</v>
      </c>
      <c r="G342" s="5" t="s">
        <v>98</v>
      </c>
      <c r="H342" s="9" t="s">
        <v>35</v>
      </c>
      <c r="I342" s="5" t="s">
        <v>1315</v>
      </c>
      <c r="J342" s="5" t="s">
        <v>1316</v>
      </c>
      <c r="K342" s="5"/>
      <c r="L342" s="5"/>
      <c r="M342" s="5"/>
      <c r="N342" s="19" t="s">
        <v>258</v>
      </c>
    </row>
    <row r="343" customFormat="false" ht="15" hidden="false" customHeight="true" outlineLevel="0" collapsed="false">
      <c r="A343" s="5" t="n">
        <v>342</v>
      </c>
      <c r="B343" s="6" t="s">
        <v>805</v>
      </c>
      <c r="C343" s="5" t="s">
        <v>806</v>
      </c>
      <c r="D343" s="5" t="s">
        <v>91</v>
      </c>
      <c r="E343" s="5" t="s">
        <v>470</v>
      </c>
      <c r="F343" s="5" t="s">
        <v>17</v>
      </c>
      <c r="G343" s="5" t="s">
        <v>639</v>
      </c>
      <c r="H343" s="9" t="s">
        <v>35</v>
      </c>
      <c r="I343" s="5" t="s">
        <v>1315</v>
      </c>
      <c r="J343" s="5" t="s">
        <v>1316</v>
      </c>
      <c r="K343" s="5"/>
      <c r="L343" s="5"/>
      <c r="M343" s="5"/>
      <c r="N343" s="20" t="s">
        <v>657</v>
      </c>
    </row>
    <row r="344" customFormat="false" ht="15" hidden="false" customHeight="true" outlineLevel="0" collapsed="false">
      <c r="A344" s="5" t="n">
        <v>343</v>
      </c>
      <c r="B344" s="6" t="s">
        <v>650</v>
      </c>
      <c r="C344" s="5" t="s">
        <v>651</v>
      </c>
      <c r="D344" s="5" t="s">
        <v>652</v>
      </c>
      <c r="E344" s="5" t="s">
        <v>145</v>
      </c>
      <c r="F344" s="5" t="s">
        <v>139</v>
      </c>
      <c r="G344" s="5" t="s">
        <v>139</v>
      </c>
      <c r="H344" s="8" t="s">
        <v>28</v>
      </c>
      <c r="I344" s="5" t="s">
        <v>1508</v>
      </c>
      <c r="J344" s="5" t="s">
        <v>1559</v>
      </c>
      <c r="K344" s="5"/>
      <c r="L344" s="5" t="s">
        <v>1560</v>
      </c>
      <c r="M344" s="5"/>
      <c r="N344" s="22" t="s">
        <v>462</v>
      </c>
    </row>
    <row r="345" customFormat="false" ht="23.25" hidden="false" customHeight="true" outlineLevel="0" collapsed="false">
      <c r="A345" s="5" t="n">
        <v>344</v>
      </c>
      <c r="B345" s="6" t="s">
        <v>1296</v>
      </c>
      <c r="C345" s="5"/>
      <c r="D345" s="5" t="s">
        <v>1297</v>
      </c>
      <c r="E345" s="5" t="s">
        <v>1298</v>
      </c>
      <c r="F345" s="5" t="s">
        <v>885</v>
      </c>
      <c r="G345" s="5" t="s">
        <v>885</v>
      </c>
      <c r="H345" s="7" t="s">
        <v>19</v>
      </c>
      <c r="I345" s="5" t="s">
        <v>1317</v>
      </c>
      <c r="J345" s="5" t="s">
        <v>1316</v>
      </c>
      <c r="K345" s="5"/>
      <c r="L345" s="5" t="s">
        <v>1561</v>
      </c>
      <c r="M345" s="5"/>
      <c r="N345" s="21" t="s">
        <v>1130</v>
      </c>
    </row>
    <row r="346" customFormat="false" ht="23.25" hidden="false" customHeight="true" outlineLevel="0" collapsed="false">
      <c r="A346" s="5" t="n">
        <v>345</v>
      </c>
      <c r="B346" s="6" t="s">
        <v>653</v>
      </c>
      <c r="C346" s="5" t="s">
        <v>654</v>
      </c>
      <c r="D346" s="5" t="s">
        <v>655</v>
      </c>
      <c r="E346" s="5" t="s">
        <v>656</v>
      </c>
      <c r="F346" s="5" t="s">
        <v>471</v>
      </c>
      <c r="G346" s="5" t="s">
        <v>472</v>
      </c>
      <c r="H346" s="7" t="s">
        <v>19</v>
      </c>
      <c r="I346" s="5" t="s">
        <v>1562</v>
      </c>
      <c r="J346" s="5" t="s">
        <v>1316</v>
      </c>
      <c r="K346" s="5"/>
      <c r="L346" s="5"/>
      <c r="M346" s="5"/>
      <c r="N346" s="22" t="s">
        <v>462</v>
      </c>
    </row>
    <row r="347" customFormat="false" ht="23.25" hidden="false" customHeight="true" outlineLevel="0" collapsed="false">
      <c r="A347" s="5" t="n">
        <v>346</v>
      </c>
      <c r="B347" s="6" t="s">
        <v>256</v>
      </c>
      <c r="C347" s="5" t="s">
        <v>257</v>
      </c>
      <c r="D347" s="5" t="s">
        <v>218</v>
      </c>
      <c r="E347" s="5" t="s">
        <v>219</v>
      </c>
      <c r="F347" s="5" t="s">
        <v>195</v>
      </c>
      <c r="G347" s="5" t="s">
        <v>220</v>
      </c>
      <c r="H347" s="8" t="s">
        <v>28</v>
      </c>
      <c r="I347" s="5" t="s">
        <v>1503</v>
      </c>
      <c r="J347" s="5" t="s">
        <v>1504</v>
      </c>
      <c r="K347" s="5"/>
      <c r="L347" s="5" t="s">
        <v>1563</v>
      </c>
      <c r="M347" s="5"/>
      <c r="N347" s="17" t="s">
        <v>13</v>
      </c>
    </row>
    <row r="348" customFormat="false" ht="15" hidden="false" customHeight="true" outlineLevel="0" collapsed="false">
      <c r="A348" s="5" t="n">
        <v>347</v>
      </c>
      <c r="B348" s="6" t="s">
        <v>1299</v>
      </c>
      <c r="C348" s="5" t="s">
        <v>1300</v>
      </c>
      <c r="D348" s="5" t="s">
        <v>1301</v>
      </c>
      <c r="E348" s="5" t="s">
        <v>818</v>
      </c>
      <c r="F348" s="5" t="s">
        <v>1290</v>
      </c>
      <c r="G348" s="5" t="s">
        <v>1302</v>
      </c>
      <c r="H348" s="10" t="s">
        <v>56</v>
      </c>
      <c r="I348" s="5" t="s">
        <v>1317</v>
      </c>
      <c r="J348" s="5" t="s">
        <v>1316</v>
      </c>
      <c r="K348" s="5"/>
      <c r="L348" s="5"/>
      <c r="M348" s="5"/>
      <c r="N348" s="21" t="s">
        <v>1130</v>
      </c>
    </row>
    <row r="349" customFormat="false" ht="15" hidden="false" customHeight="true" outlineLevel="0" collapsed="false">
      <c r="A349" s="5" t="n">
        <v>348</v>
      </c>
      <c r="B349" s="6" t="s">
        <v>1303</v>
      </c>
      <c r="C349" s="5"/>
      <c r="D349" s="5"/>
      <c r="E349" s="5"/>
      <c r="F349" s="5" t="s">
        <v>1229</v>
      </c>
      <c r="G349" s="5" t="s">
        <v>1304</v>
      </c>
      <c r="H349" s="10" t="s">
        <v>56</v>
      </c>
      <c r="I349" s="5"/>
      <c r="J349" s="5" t="s">
        <v>1316</v>
      </c>
      <c r="K349" s="5"/>
      <c r="L349" s="5" t="s">
        <v>1564</v>
      </c>
      <c r="M349" s="5"/>
      <c r="N349" s="21" t="s">
        <v>1130</v>
      </c>
    </row>
    <row r="350" customFormat="false" ht="15" hidden="false" customHeight="true" outlineLevel="0" collapsed="false">
      <c r="A350" s="5" t="n">
        <v>349</v>
      </c>
      <c r="B350" s="6" t="s">
        <v>459</v>
      </c>
      <c r="C350" s="5" t="s">
        <v>460</v>
      </c>
      <c r="D350" s="5" t="s">
        <v>461</v>
      </c>
      <c r="E350" s="5" t="s">
        <v>151</v>
      </c>
      <c r="F350" s="5" t="s">
        <v>97</v>
      </c>
      <c r="G350" s="5" t="s">
        <v>146</v>
      </c>
      <c r="H350" s="9" t="s">
        <v>35</v>
      </c>
      <c r="I350" s="5" t="s">
        <v>1317</v>
      </c>
      <c r="J350" s="5" t="s">
        <v>1316</v>
      </c>
      <c r="K350" s="5" t="s">
        <v>1565</v>
      </c>
      <c r="L350" s="5"/>
      <c r="M350" s="5"/>
      <c r="N350" s="19" t="s">
        <v>258</v>
      </c>
    </row>
    <row r="351" customFormat="false" ht="23.25" hidden="false" customHeight="true" outlineLevel="0" collapsed="false">
      <c r="A351" s="5" t="n">
        <v>350</v>
      </c>
      <c r="B351" s="6" t="s">
        <v>807</v>
      </c>
      <c r="C351" s="5" t="s">
        <v>808</v>
      </c>
      <c r="D351" s="5" t="s">
        <v>809</v>
      </c>
      <c r="E351" s="5" t="s">
        <v>519</v>
      </c>
      <c r="F351" s="5" t="s">
        <v>17</v>
      </c>
      <c r="G351" s="5" t="s">
        <v>472</v>
      </c>
      <c r="H351" s="9" t="s">
        <v>35</v>
      </c>
      <c r="I351" s="5" t="s">
        <v>1317</v>
      </c>
      <c r="J351" s="5" t="s">
        <v>1316</v>
      </c>
      <c r="K351" s="5"/>
      <c r="L351" s="5"/>
      <c r="M351" s="5"/>
      <c r="N351" s="20" t="s">
        <v>657</v>
      </c>
    </row>
    <row r="352" customFormat="false" ht="23.25" hidden="false" customHeight="true" outlineLevel="0" collapsed="false">
      <c r="A352" s="5" t="n">
        <v>351</v>
      </c>
      <c r="B352" s="6" t="s">
        <v>1306</v>
      </c>
      <c r="C352" s="5"/>
      <c r="D352" s="5" t="s">
        <v>1307</v>
      </c>
      <c r="E352" s="5" t="s">
        <v>1212</v>
      </c>
      <c r="F352" s="5" t="s">
        <v>1100</v>
      </c>
      <c r="G352" s="5" t="s">
        <v>1100</v>
      </c>
      <c r="H352" s="8" t="s">
        <v>28</v>
      </c>
      <c r="I352" s="5" t="s">
        <v>1317</v>
      </c>
      <c r="J352" s="5" t="s">
        <v>1316</v>
      </c>
      <c r="K352" s="5"/>
      <c r="L352" s="5" t="s">
        <v>1566</v>
      </c>
      <c r="M352" s="5"/>
      <c r="N352" s="21" t="s">
        <v>1130</v>
      </c>
    </row>
  </sheetData>
  <autoFilter ref="A1:N352"/>
  <conditionalFormatting sqref="H2:H352">
    <cfRule type="expression" priority="2" aboveAverage="0" equalAverage="0" bottom="0" percent="0" rank="0" text="" dxfId="26">
      <formula>$H2="Primavera"</formula>
    </cfRule>
    <cfRule type="expression" priority="3" aboveAverage="0" equalAverage="0" bottom="0" percent="0" rank="0" text="" dxfId="25">
      <formula>$H2="Verano"</formula>
    </cfRule>
    <cfRule type="expression" priority="4" aboveAverage="0" equalAverage="0" bottom="0" percent="0" rank="0" text="" dxfId="27">
      <formula>$H2="Otoño"</formula>
    </cfRule>
    <cfRule type="expression" priority="5" aboveAverage="0" equalAverage="0" bottom="0" percent="0" rank="0" text="" dxfId="24">
      <formula>$H2="Invierno"</formula>
    </cfRule>
  </conditionalFormatting>
  <dataValidations count="2">
    <dataValidation allowBlank="true" errorStyle="stop" operator="between" showDropDown="false" showErrorMessage="false" showInputMessage="false" sqref="M2:M352" type="list">
      <formula1>"Sí,No,Leyendo"</formula1>
      <formula2>0</formula2>
    </dataValidation>
    <dataValidation allowBlank="true" errorStyle="stop" operator="between" showDropDown="false" showErrorMessage="false" showInputMessage="false" sqref="H2:H352" type="list">
      <formula1>"Primavera,Verano,Otoño,Invierno"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2"/>
    <col collapsed="false" customWidth="true" hidden="false" outlineLevel="0" max="5" min="5" style="1" width="10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4" t="s">
        <v>1567</v>
      </c>
      <c r="B1" s="25"/>
      <c r="C1" s="25"/>
      <c r="D1" s="25"/>
    </row>
    <row r="2" customFormat="false" ht="15" hidden="false" customHeight="true" outlineLevel="0" collapsed="false">
      <c r="A2" s="25"/>
      <c r="B2" s="25"/>
      <c r="C2" s="25"/>
      <c r="D2" s="25"/>
    </row>
    <row r="3" customFormat="false" ht="15" hidden="false" customHeight="true" outlineLevel="0" collapsed="false">
      <c r="A3" s="26" t="s">
        <v>8</v>
      </c>
      <c r="B3" s="26" t="s">
        <v>1568</v>
      </c>
      <c r="C3" s="26" t="s">
        <v>1569</v>
      </c>
      <c r="D3" s="26" t="s">
        <v>1570</v>
      </c>
    </row>
    <row r="4" customFormat="false" ht="15" hidden="false" customHeight="true" outlineLevel="0" collapsed="false">
      <c r="A4" s="27" t="s">
        <v>56</v>
      </c>
      <c r="B4" s="25" t="n">
        <f aca="false">COUNTIF(Lista!$H$2:$H$352,A4)</f>
        <v>69</v>
      </c>
      <c r="C4" s="25" t="n">
        <f aca="false">COUNTIFS(Lista!$H$2:$H$352,A4,Lista!$M$2:$M$352,"Sí")</f>
        <v>0</v>
      </c>
      <c r="D4" s="28" t="n">
        <f aca="false">B4/$B$8</f>
        <v>0.196581196581197</v>
      </c>
    </row>
    <row r="5" customFormat="false" ht="15" hidden="false" customHeight="true" outlineLevel="0" collapsed="false">
      <c r="A5" s="29" t="s">
        <v>28</v>
      </c>
      <c r="B5" s="25" t="n">
        <f aca="false">COUNTIF(Lista!$H$2:$H$352,A5)</f>
        <v>108</v>
      </c>
      <c r="C5" s="25" t="n">
        <f aca="false">COUNTIFS(Lista!$H$2:$H$352,A5,Lista!$M$2:$M$352,"Sí")</f>
        <v>0</v>
      </c>
      <c r="D5" s="28" t="n">
        <f aca="false">B5/$B$8</f>
        <v>0.307692307692308</v>
      </c>
    </row>
    <row r="6" customFormat="false" ht="15" hidden="false" customHeight="true" outlineLevel="0" collapsed="false">
      <c r="A6" s="30" t="s">
        <v>35</v>
      </c>
      <c r="B6" s="25" t="n">
        <f aca="false">COUNTIF(Lista!$H$2:$H$352,A6)</f>
        <v>108</v>
      </c>
      <c r="C6" s="25" t="n">
        <f aca="false">COUNTIFS(Lista!$H$2:$H$352,A6,Lista!$M$2:$M$352,"Sí")</f>
        <v>0</v>
      </c>
      <c r="D6" s="28" t="n">
        <f aca="false">B6/$B$8</f>
        <v>0.307692307692308</v>
      </c>
    </row>
    <row r="7" customFormat="false" ht="15" hidden="false" customHeight="true" outlineLevel="0" collapsed="false">
      <c r="A7" s="31" t="s">
        <v>19</v>
      </c>
      <c r="B7" s="25" t="n">
        <f aca="false">COUNTIF(Lista!$H$2:$H$352,A7)</f>
        <v>66</v>
      </c>
      <c r="C7" s="25" t="n">
        <f aca="false">COUNTIFS(Lista!$H$2:$H$352,A7,Lista!$M$2:$M$352,"Sí")</f>
        <v>0</v>
      </c>
      <c r="D7" s="28" t="n">
        <f aca="false">B7/$B$8</f>
        <v>0.188034188034188</v>
      </c>
    </row>
    <row r="8" customFormat="false" ht="15" hidden="false" customHeight="true" outlineLevel="0" collapsed="false">
      <c r="A8" s="32" t="s">
        <v>1571</v>
      </c>
      <c r="B8" s="32" t="n">
        <f aca="false">SUM(B4:B7)</f>
        <v>351</v>
      </c>
      <c r="C8" s="25" t="n">
        <f aca="false">SUM(C4:C7)</f>
        <v>0</v>
      </c>
      <c r="D8" s="28" t="n">
        <f aca="false">SUM(D4:D7)</f>
        <v>1</v>
      </c>
    </row>
    <row r="9" customFormat="false" ht="15" hidden="false" customHeight="true" outlineLevel="0" collapsed="false">
      <c r="A9" s="25"/>
      <c r="B9" s="25"/>
      <c r="C9" s="25"/>
      <c r="D9" s="25"/>
    </row>
    <row r="10" customFormat="false" ht="15" hidden="false" customHeight="true" outlineLevel="0" collapsed="false">
      <c r="A10" s="26" t="s">
        <v>6</v>
      </c>
      <c r="B10" s="26" t="s">
        <v>1568</v>
      </c>
      <c r="C10" s="26" t="s">
        <v>1569</v>
      </c>
      <c r="D10" s="25"/>
    </row>
    <row r="11" customFormat="false" ht="15" hidden="false" customHeight="true" outlineLevel="0" collapsed="false">
      <c r="A11" s="25" t="s">
        <v>17</v>
      </c>
      <c r="B11" s="25" t="n">
        <f aca="false">COUNTIF(Lista!$F$2:$F$352,A11)</f>
        <v>169</v>
      </c>
      <c r="C11" s="25" t="n">
        <f aca="false">COUNTIFS(Lista!$F$2:$F$352,A11,Lista!$M$2:$M$352,"Sí")</f>
        <v>0</v>
      </c>
      <c r="D11" s="25"/>
    </row>
    <row r="12" customFormat="false" ht="15" hidden="false" customHeight="true" outlineLevel="0" collapsed="false">
      <c r="A12" s="25" t="s">
        <v>139</v>
      </c>
      <c r="B12" s="25" t="n">
        <f aca="false">COUNTIF(Lista!$F$2:$F$352,A12)</f>
        <v>27</v>
      </c>
      <c r="C12" s="25" t="n">
        <f aca="false">COUNTIFS(Lista!$F$2:$F$352,A12,Lista!$M$2:$M$352,"Sí")</f>
        <v>0</v>
      </c>
      <c r="D12" s="25"/>
    </row>
    <row r="13" customFormat="false" ht="15" hidden="false" customHeight="true" outlineLevel="0" collapsed="false">
      <c r="A13" s="25" t="s">
        <v>109</v>
      </c>
      <c r="B13" s="25" t="n">
        <f aca="false">COUNTIF(Lista!$F$2:$F$352,A13)</f>
        <v>24</v>
      </c>
      <c r="C13" s="25" t="n">
        <f aca="false">COUNTIFS(Lista!$F$2:$F$352,A13,Lista!$M$2:$M$352,"Sí")</f>
        <v>0</v>
      </c>
      <c r="D13" s="25"/>
    </row>
    <row r="14" customFormat="false" ht="15" hidden="false" customHeight="true" outlineLevel="0" collapsed="false">
      <c r="A14" s="25" t="s">
        <v>97</v>
      </c>
      <c r="B14" s="25" t="n">
        <f aca="false">COUNTIF(Lista!$F$2:$F$352,A14)</f>
        <v>21</v>
      </c>
      <c r="C14" s="25" t="n">
        <f aca="false">COUNTIFS(Lista!$F$2:$F$352,A14,Lista!$M$2:$M$352,"Sí")</f>
        <v>0</v>
      </c>
      <c r="D14" s="25"/>
    </row>
    <row r="15" customFormat="false" ht="15" hidden="false" customHeight="true" outlineLevel="0" collapsed="false">
      <c r="A15" s="25" t="s">
        <v>33</v>
      </c>
      <c r="B15" s="25" t="n">
        <f aca="false">COUNTIF(Lista!$F$2:$F$352,A15)</f>
        <v>17</v>
      </c>
      <c r="C15" s="25" t="n">
        <f aca="false">COUNTIFS(Lista!$F$2:$F$352,A15,Lista!$M$2:$M$352,"Sí")</f>
        <v>0</v>
      </c>
      <c r="D15" s="25"/>
    </row>
    <row r="16" customFormat="false" ht="15" hidden="false" customHeight="true" outlineLevel="0" collapsed="false">
      <c r="A16" s="25" t="s">
        <v>471</v>
      </c>
      <c r="B16" s="25" t="n">
        <f aca="false">COUNTIF(Lista!$F$2:$F$352,A16)</f>
        <v>14</v>
      </c>
      <c r="C16" s="25" t="n">
        <f aca="false">COUNTIFS(Lista!$F$2:$F$352,A16,Lista!$M$2:$M$352,"Sí")</f>
        <v>0</v>
      </c>
      <c r="D16" s="25"/>
    </row>
    <row r="17" customFormat="false" ht="15" hidden="false" customHeight="true" outlineLevel="0" collapsed="false">
      <c r="A17" s="25" t="s">
        <v>195</v>
      </c>
      <c r="B17" s="25" t="n">
        <f aca="false">COUNTIF(Lista!$F$2:$F$352,A17)</f>
        <v>13</v>
      </c>
      <c r="C17" s="25" t="n">
        <f aca="false">COUNTIFS(Lista!$F$2:$F$352,A17,Lista!$M$2:$M$352,"Sí")</f>
        <v>0</v>
      </c>
      <c r="D17" s="25"/>
    </row>
    <row r="18" customFormat="false" ht="15" hidden="false" customHeight="true" outlineLevel="0" collapsed="false">
      <c r="A18" s="25" t="s">
        <v>103</v>
      </c>
      <c r="B18" s="25" t="n">
        <f aca="false">COUNTIF(Lista!$F$2:$F$352,A18)</f>
        <v>8</v>
      </c>
      <c r="C18" s="25" t="n">
        <f aca="false">COUNTIFS(Lista!$F$2:$F$352,A18,Lista!$M$2:$M$352,"Sí")</f>
        <v>0</v>
      </c>
      <c r="D18" s="25"/>
    </row>
    <row r="19" customFormat="false" ht="15" hidden="false" customHeight="true" outlineLevel="0" collapsed="false">
      <c r="A19" s="25" t="s">
        <v>578</v>
      </c>
      <c r="B19" s="25" t="n">
        <f aca="false">COUNTIF(Lista!$F$2:$F$352,A19)</f>
        <v>7</v>
      </c>
      <c r="C19" s="25" t="n">
        <f aca="false">COUNTIFS(Lista!$F$2:$F$352,A19,Lista!$M$2:$M$352,"Sí")</f>
        <v>0</v>
      </c>
      <c r="D19" s="25"/>
    </row>
    <row r="20" customFormat="false" ht="15" hidden="false" customHeight="true" outlineLevel="0" collapsed="false">
      <c r="A20" s="25" t="s">
        <v>885</v>
      </c>
      <c r="B20" s="25" t="n">
        <f aca="false">COUNTIF(Lista!$F$2:$F$352,A20)</f>
        <v>6</v>
      </c>
      <c r="C20" s="25" t="n">
        <f aca="false">COUNTIFS(Lista!$F$2:$F$352,A20,Lista!$M$2:$M$352,"Sí")</f>
        <v>0</v>
      </c>
      <c r="D20" s="25"/>
    </row>
    <row r="21" customFormat="false" ht="15" hidden="false" customHeight="true" outlineLevel="0" collapsed="false">
      <c r="A21" s="25" t="s">
        <v>1100</v>
      </c>
      <c r="B21" s="25" t="n">
        <f aca="false">COUNTIF(Lista!$F$2:$F$352,A21)</f>
        <v>6</v>
      </c>
      <c r="C21" s="25" t="n">
        <f aca="false">COUNTIFS(Lista!$F$2:$F$352,A21,Lista!$M$2:$M$352,"Sí")</f>
        <v>0</v>
      </c>
      <c r="D21" s="25"/>
    </row>
    <row r="22" customFormat="false" ht="15" hidden="false" customHeight="true" outlineLevel="0" collapsed="false">
      <c r="A22" s="25" t="s">
        <v>934</v>
      </c>
      <c r="B22" s="25" t="n">
        <f aca="false">COUNTIF(Lista!$F$2:$F$352,A22)</f>
        <v>4</v>
      </c>
      <c r="C22" s="25" t="n">
        <f aca="false">COUNTIFS(Lista!$F$2:$F$352,A22,Lista!$M$2:$M$352,"Sí")</f>
        <v>0</v>
      </c>
      <c r="D22" s="25"/>
    </row>
    <row r="23" customFormat="false" ht="15" hidden="false" customHeight="true" outlineLevel="0" collapsed="false">
      <c r="A23" s="25" t="s">
        <v>1229</v>
      </c>
      <c r="B23" s="25" t="n">
        <f aca="false">COUNTIF(Lista!$F$2:$F$352,A23)</f>
        <v>4</v>
      </c>
      <c r="C23" s="25" t="n">
        <f aca="false">COUNTIFS(Lista!$F$2:$F$352,A23,Lista!$M$2:$M$352,"Sí")</f>
        <v>0</v>
      </c>
      <c r="D23" s="25"/>
    </row>
    <row r="24" customFormat="false" ht="15" hidden="false" customHeight="true" outlineLevel="0" collapsed="false">
      <c r="A24" s="25" t="s">
        <v>572</v>
      </c>
      <c r="B24" s="25" t="n">
        <f aca="false">COUNTIF(Lista!$F$2:$F$352,A24)</f>
        <v>3</v>
      </c>
      <c r="C24" s="25" t="n">
        <f aca="false">COUNTIFS(Lista!$F$2:$F$352,A24,Lista!$M$2:$M$352,"Sí")</f>
        <v>0</v>
      </c>
      <c r="D24" s="25"/>
    </row>
    <row r="25" customFormat="false" ht="15" hidden="false" customHeight="true" outlineLevel="0" collapsed="false">
      <c r="A25" s="25" t="s">
        <v>1156</v>
      </c>
      <c r="B25" s="25" t="n">
        <f aca="false">COUNTIF(Lista!$F$2:$F$352,A25)</f>
        <v>3</v>
      </c>
      <c r="C25" s="25" t="n">
        <f aca="false">COUNTIFS(Lista!$F$2:$F$352,A25,Lista!$M$2:$M$352,"Sí")</f>
        <v>0</v>
      </c>
      <c r="D25" s="25"/>
    </row>
    <row r="26" customFormat="false" ht="15" hidden="false" customHeight="true" outlineLevel="0" collapsed="false">
      <c r="A26" s="25" t="s">
        <v>772</v>
      </c>
      <c r="B26" s="25" t="n">
        <f aca="false">COUNTIF(Lista!$F$2:$F$352,A26)</f>
        <v>3</v>
      </c>
      <c r="C26" s="25" t="n">
        <f aca="false">COUNTIFS(Lista!$F$2:$F$352,A26,Lista!$M$2:$M$352,"Sí")</f>
        <v>0</v>
      </c>
      <c r="D26" s="25"/>
    </row>
    <row r="27" customFormat="false" ht="15" hidden="false" customHeight="true" outlineLevel="0" collapsed="false">
      <c r="A27" s="25" t="s">
        <v>870</v>
      </c>
      <c r="B27" s="25" t="n">
        <f aca="false">COUNTIF(Lista!$F$2:$F$352,A27)</f>
        <v>2</v>
      </c>
      <c r="C27" s="25" t="n">
        <f aca="false">COUNTIFS(Lista!$F$2:$F$352,A27,Lista!$M$2:$M$352,"Sí")</f>
        <v>0</v>
      </c>
      <c r="D27" s="25"/>
    </row>
    <row r="28" customFormat="false" ht="15" hidden="false" customHeight="true" outlineLevel="0" collapsed="false">
      <c r="A28" s="25" t="s">
        <v>299</v>
      </c>
      <c r="B28" s="25" t="n">
        <f aca="false">COUNTIF(Lista!$F$2:$F$352,A28)</f>
        <v>2</v>
      </c>
      <c r="C28" s="25" t="n">
        <f aca="false">COUNTIFS(Lista!$F$2:$F$352,A28,Lista!$M$2:$M$352,"Sí")</f>
        <v>0</v>
      </c>
      <c r="D28" s="25"/>
    </row>
    <row r="29" customFormat="false" ht="15" hidden="false" customHeight="true" outlineLevel="0" collapsed="false">
      <c r="A29" s="25" t="s">
        <v>942</v>
      </c>
      <c r="B29" s="25" t="n">
        <f aca="false">COUNTIF(Lista!$F$2:$F$352,A29)</f>
        <v>2</v>
      </c>
      <c r="C29" s="25" t="n">
        <f aca="false">COUNTIFS(Lista!$F$2:$F$352,A29,Lista!$M$2:$M$352,"Sí")</f>
        <v>0</v>
      </c>
      <c r="D29" s="25"/>
    </row>
    <row r="30" customFormat="false" ht="15" hidden="false" customHeight="true" outlineLevel="0" collapsed="false">
      <c r="A30" s="25" t="s">
        <v>834</v>
      </c>
      <c r="B30" s="25" t="n">
        <f aca="false">COUNTIF(Lista!$F$2:$F$352,A30)</f>
        <v>2</v>
      </c>
      <c r="C30" s="25" t="n">
        <f aca="false">COUNTIFS(Lista!$F$2:$F$352,A30,Lista!$M$2:$M$352,"Sí")</f>
        <v>0</v>
      </c>
      <c r="D30" s="25"/>
    </row>
    <row r="31" customFormat="false" ht="15" hidden="false" customHeight="true" outlineLevel="0" collapsed="false">
      <c r="A31" s="25" t="s">
        <v>547</v>
      </c>
      <c r="B31" s="25" t="n">
        <f aca="false">COUNTIF(Lista!$F$2:$F$352,A31)</f>
        <v>2</v>
      </c>
      <c r="C31" s="25" t="n">
        <f aca="false">COUNTIFS(Lista!$F$2:$F$352,A31,Lista!$M$2:$M$352,"Sí")</f>
        <v>0</v>
      </c>
      <c r="D31" s="25"/>
    </row>
    <row r="32" customFormat="false" ht="15" hidden="false" customHeight="true" outlineLevel="0" collapsed="false">
      <c r="A32" s="25" t="s">
        <v>1013</v>
      </c>
      <c r="B32" s="25" t="n">
        <f aca="false">COUNTIF(Lista!$F$2:$F$352,A32)</f>
        <v>2</v>
      </c>
      <c r="C32" s="25" t="n">
        <f aca="false">COUNTIFS(Lista!$F$2:$F$352,A32,Lista!$M$2:$M$352,"Sí")</f>
        <v>0</v>
      </c>
      <c r="D32" s="25"/>
    </row>
    <row r="33" customFormat="false" ht="15" hidden="false" customHeight="true" outlineLevel="0" collapsed="false">
      <c r="A33" s="25" t="s">
        <v>916</v>
      </c>
      <c r="B33" s="25" t="n">
        <f aca="false">COUNTIF(Lista!$F$2:$F$352,A33)</f>
        <v>2</v>
      </c>
      <c r="C33" s="25" t="n">
        <f aca="false">COUNTIFS(Lista!$F$2:$F$352,A33,Lista!$M$2:$M$352,"Sí")</f>
        <v>0</v>
      </c>
      <c r="D33" s="25"/>
    </row>
    <row r="34" customFormat="false" ht="15" hidden="false" customHeight="true" outlineLevel="0" collapsed="false">
      <c r="A34" s="25" t="s">
        <v>1290</v>
      </c>
      <c r="B34" s="25" t="n">
        <f aca="false">COUNTIF(Lista!$F$2:$F$352,A34)</f>
        <v>2</v>
      </c>
      <c r="C34" s="25" t="n">
        <f aca="false">COUNTIFS(Lista!$F$2:$F$352,A34,Lista!$M$2:$M$352,"Sí")</f>
        <v>0</v>
      </c>
      <c r="D34" s="25"/>
    </row>
    <row r="35" customFormat="false" ht="15" hidden="false" customHeight="true" outlineLevel="0" collapsed="false">
      <c r="A35" s="25" t="s">
        <v>1148</v>
      </c>
      <c r="B35" s="25" t="n">
        <f aca="false">COUNTIF(Lista!$F$2:$F$352,A35)</f>
        <v>1</v>
      </c>
      <c r="C35" s="25" t="n">
        <f aca="false">COUNTIFS(Lista!$F$2:$F$352,A35,Lista!$M$2:$M$352,"Sí")</f>
        <v>0</v>
      </c>
      <c r="D35" s="25"/>
    </row>
    <row r="36" customFormat="false" ht="15" hidden="false" customHeight="true" outlineLevel="0" collapsed="false">
      <c r="A36" s="25" t="s">
        <v>1161</v>
      </c>
      <c r="B36" s="25" t="n">
        <f aca="false">COUNTIF(Lista!$F$2:$F$352,A36)</f>
        <v>1</v>
      </c>
      <c r="C36" s="25" t="n">
        <f aca="false">COUNTIFS(Lista!$F$2:$F$352,A36,Lista!$M$2:$M$352,"Sí")</f>
        <v>0</v>
      </c>
      <c r="D36" s="25"/>
    </row>
    <row r="37" customFormat="false" ht="15" hidden="false" customHeight="true" outlineLevel="0" collapsed="false">
      <c r="A37" s="25" t="s">
        <v>708</v>
      </c>
      <c r="B37" s="25" t="n">
        <f aca="false">COUNTIF(Lista!$F$2:$F$352,A37)</f>
        <v>1</v>
      </c>
      <c r="C37" s="25" t="n">
        <f aca="false">COUNTIFS(Lista!$F$2:$F$352,A37,Lista!$M$2:$M$352,"Sí")</f>
        <v>0</v>
      </c>
      <c r="D37" s="25"/>
    </row>
    <row r="38" customFormat="false" ht="15" hidden="false" customHeight="true" outlineLevel="0" collapsed="false">
      <c r="A38" s="25" t="s">
        <v>910</v>
      </c>
      <c r="B38" s="25" t="n">
        <f aca="false">COUNTIF(Lista!$F$2:$F$352,A38)</f>
        <v>1</v>
      </c>
      <c r="C38" s="25" t="n">
        <f aca="false">COUNTIFS(Lista!$F$2:$F$352,A38,Lista!$M$2:$M$352,"Sí")</f>
        <v>0</v>
      </c>
      <c r="D38" s="25"/>
    </row>
    <row r="39" customFormat="false" ht="15" hidden="false" customHeight="true" outlineLevel="0" collapsed="false">
      <c r="A39" s="25" t="s">
        <v>1000</v>
      </c>
      <c r="B39" s="25" t="n">
        <f aca="false">COUNTIF(Lista!$F$2:$F$352,A39)</f>
        <v>1</v>
      </c>
      <c r="C39" s="25" t="n">
        <f aca="false">COUNTIFS(Lista!$F$2:$F$352,A39,Lista!$M$2:$M$352,"Sí")</f>
        <v>0</v>
      </c>
      <c r="D39" s="25"/>
    </row>
    <row r="40" customFormat="false" ht="15" hidden="false" customHeight="true" outlineLevel="0" collapsed="false">
      <c r="A40" s="25" t="s">
        <v>404</v>
      </c>
      <c r="B40" s="25" t="n">
        <f aca="false">COUNTIF(Lista!$F$2:$F$352,A40)</f>
        <v>1</v>
      </c>
      <c r="C40" s="25" t="n">
        <f aca="false">COUNTIFS(Lista!$F$2:$F$352,A40,Lista!$M$2:$M$352,"Sí")</f>
        <v>0</v>
      </c>
      <c r="D40" s="25"/>
    </row>
    <row r="41" customFormat="false" ht="15" hidden="false" customHeight="true" outlineLevel="0" collapsed="false">
      <c r="A41" s="25"/>
      <c r="B41" s="25"/>
      <c r="C41" s="25"/>
      <c r="D41" s="25"/>
    </row>
    <row r="42" customFormat="false" ht="15" hidden="false" customHeight="true" outlineLevel="0" collapsed="false">
      <c r="A42" s="25" t="s">
        <v>1572</v>
      </c>
      <c r="B42" s="25" t="str">
        <f aca="false">COUNTIF(Lista!$M$2:$M$352,"Sí")&amp;" / "&amp;COUNTA(Lista!$A$2:$A$352)</f>
        <v>0 / 351</v>
      </c>
      <c r="C42" s="25"/>
      <c r="D42" s="25"/>
    </row>
    <row r="43" customFormat="false" ht="15" hidden="false" customHeight="true" outlineLevel="0" collapsed="false">
      <c r="A43" s="25"/>
      <c r="B43" s="25"/>
      <c r="C43" s="25"/>
      <c r="D43" s="25"/>
    </row>
    <row r="44" customFormat="false" ht="15" hidden="false" customHeight="true" outlineLevel="0" collapsed="false">
      <c r="A44" s="33" t="s">
        <v>1573</v>
      </c>
      <c r="B44" s="25"/>
      <c r="C44" s="25"/>
      <c r="D44" s="25"/>
    </row>
    <row r="45" customFormat="false" ht="15" hidden="false" customHeight="true" outlineLevel="0" collapsed="false">
      <c r="A45" s="25" t="s">
        <v>1574</v>
      </c>
      <c r="B45" s="25"/>
      <c r="C45" s="25"/>
      <c r="D45" s="25"/>
    </row>
    <row r="46" customFormat="false" ht="15" hidden="false" customHeight="true" outlineLevel="0" collapsed="false">
      <c r="A46" s="25" t="s">
        <v>1575</v>
      </c>
      <c r="B46" s="25"/>
      <c r="C46" s="25"/>
      <c r="D46" s="25"/>
    </row>
    <row r="47" customFormat="false" ht="15" hidden="false" customHeight="true" outlineLevel="0" collapsed="false">
      <c r="A47" s="25" t="s">
        <v>1576</v>
      </c>
      <c r="B47" s="25"/>
      <c r="C47" s="25"/>
      <c r="D47" s="25"/>
    </row>
    <row r="48" customFormat="false" ht="15" hidden="false" customHeight="true" outlineLevel="0" collapsed="false">
      <c r="A48" s="25" t="s">
        <v>1577</v>
      </c>
      <c r="B48" s="25"/>
      <c r="C48" s="25"/>
      <c r="D48" s="25"/>
    </row>
    <row r="49" customFormat="false" ht="15" hidden="false" customHeight="true" outlineLevel="0" collapsed="false">
      <c r="A49" s="25" t="s">
        <v>1578</v>
      </c>
      <c r="B49" s="25"/>
      <c r="C49" s="25"/>
      <c r="D49" s="25"/>
    </row>
    <row r="50" customFormat="false" ht="15" hidden="false" customHeight="true" outlineLevel="0" collapsed="false">
      <c r="A50" s="25" t="s">
        <v>1579</v>
      </c>
      <c r="B50" s="25"/>
      <c r="C50" s="25"/>
      <c r="D50" s="25"/>
    </row>
    <row r="52" customFormat="false" ht="15" hidden="false" customHeight="true" outlineLevel="0" collapsed="false">
      <c r="A52" s="34" t="s">
        <v>1580</v>
      </c>
    </row>
    <row r="53" customFormat="false" ht="15" hidden="false" customHeight="true" outlineLevel="0" collapsed="false">
      <c r="A53" s="26" t="s">
        <v>0</v>
      </c>
      <c r="B53" s="26" t="s">
        <v>1568</v>
      </c>
      <c r="C53" s="26" t="s">
        <v>21</v>
      </c>
      <c r="D53" s="26" t="s">
        <v>1581</v>
      </c>
      <c r="E53" s="26" t="s">
        <v>1582</v>
      </c>
      <c r="F53" s="26" t="s">
        <v>1583</v>
      </c>
    </row>
    <row r="54" customFormat="false" ht="15" hidden="false" customHeight="true" outlineLevel="0" collapsed="false">
      <c r="A54" s="35" t="s">
        <v>13</v>
      </c>
      <c r="B54" s="25" t="n">
        <f aca="false">COUNTIF(Criba!$A$2:$A$352,A54)</f>
        <v>50</v>
      </c>
      <c r="C54" s="25" t="n">
        <f aca="false">COUNTIFS(Criba!$A$2:$A$352,$A54,Criba!$K$2:$K$352,"Sí")</f>
        <v>33</v>
      </c>
      <c r="D54" s="25" t="n">
        <f aca="false">COUNTIFS(Criba!$A$2:$A$352,$A54,Criba!$K$2:$K$352,"Quizá")</f>
        <v>0</v>
      </c>
      <c r="E54" s="25" t="n">
        <f aca="false">COUNTIFS(Criba!$A$2:$A$352,$A54,Criba!$K$2:$K$352,"No")</f>
        <v>0</v>
      </c>
      <c r="F54" s="25" t="n">
        <f aca="false">B54-C54-D54-E54</f>
        <v>17</v>
      </c>
    </row>
    <row r="55" customFormat="false" ht="15" hidden="false" customHeight="true" outlineLevel="0" collapsed="false">
      <c r="A55" s="36" t="s">
        <v>258</v>
      </c>
      <c r="B55" s="25" t="n">
        <f aca="false">COUNTIF(Criba!$A$2:$A$352,A55)</f>
        <v>50</v>
      </c>
      <c r="C55" s="25" t="n">
        <f aca="false">COUNTIFS(Criba!$A$2:$A$352,$A55,Criba!$K$2:$K$352,"Sí")</f>
        <v>20</v>
      </c>
      <c r="D55" s="25" t="n">
        <f aca="false">COUNTIFS(Criba!$A$2:$A$352,$A55,Criba!$K$2:$K$352,"Quizá")</f>
        <v>0</v>
      </c>
      <c r="E55" s="25" t="n">
        <f aca="false">COUNTIFS(Criba!$A$2:$A$352,$A55,Criba!$K$2:$K$352,"No")</f>
        <v>0</v>
      </c>
      <c r="F55" s="25" t="n">
        <f aca="false">B55-C55-D55-E55</f>
        <v>30</v>
      </c>
    </row>
    <row r="56" customFormat="false" ht="15" hidden="false" customHeight="true" outlineLevel="0" collapsed="false">
      <c r="A56" s="37" t="s">
        <v>462</v>
      </c>
      <c r="B56" s="25" t="n">
        <f aca="false">COUNTIF(Criba!$A$2:$A$352,A56)</f>
        <v>50</v>
      </c>
      <c r="C56" s="25" t="n">
        <f aca="false">COUNTIFS(Criba!$A$2:$A$352,$A56,Criba!$K$2:$K$352,"Sí")</f>
        <v>12</v>
      </c>
      <c r="D56" s="25" t="n">
        <f aca="false">COUNTIFS(Criba!$A$2:$A$352,$A56,Criba!$K$2:$K$352,"Quizá")</f>
        <v>0</v>
      </c>
      <c r="E56" s="25" t="n">
        <f aca="false">COUNTIFS(Criba!$A$2:$A$352,$A56,Criba!$K$2:$K$352,"No")</f>
        <v>0</v>
      </c>
      <c r="F56" s="25" t="n">
        <f aca="false">B56-C56-D56-E56</f>
        <v>38</v>
      </c>
    </row>
    <row r="57" customFormat="false" ht="15" hidden="false" customHeight="true" outlineLevel="0" collapsed="false">
      <c r="A57" s="38" t="s">
        <v>657</v>
      </c>
      <c r="B57" s="25" t="n">
        <f aca="false">COUNTIF(Criba!$A$2:$A$352,A57)</f>
        <v>50</v>
      </c>
      <c r="C57" s="25" t="n">
        <f aca="false">COUNTIFS(Criba!$A$2:$A$352,$A57,Criba!$K$2:$K$352,"Sí")</f>
        <v>4</v>
      </c>
      <c r="D57" s="25" t="n">
        <f aca="false">COUNTIFS(Criba!$A$2:$A$352,$A57,Criba!$K$2:$K$352,"Quizá")</f>
        <v>0</v>
      </c>
      <c r="E57" s="25" t="n">
        <f aca="false">COUNTIFS(Criba!$A$2:$A$352,$A57,Criba!$K$2:$K$352,"No")</f>
        <v>0</v>
      </c>
      <c r="F57" s="25" t="n">
        <f aca="false">B57-C57-D57-E57</f>
        <v>46</v>
      </c>
    </row>
    <row r="58" customFormat="false" ht="15" hidden="false" customHeight="true" outlineLevel="0" collapsed="false">
      <c r="A58" s="39" t="s">
        <v>810</v>
      </c>
      <c r="B58" s="25" t="n">
        <f aca="false">COUNTIF(Criba!$A$2:$A$352,A58)</f>
        <v>50</v>
      </c>
      <c r="C58" s="25" t="n">
        <f aca="false">COUNTIFS(Criba!$A$2:$A$352,$A58,Criba!$K$2:$K$352,"Sí")</f>
        <v>5</v>
      </c>
      <c r="D58" s="25" t="n">
        <f aca="false">COUNTIFS(Criba!$A$2:$A$352,$A58,Criba!$K$2:$K$352,"Quizá")</f>
        <v>0</v>
      </c>
      <c r="E58" s="25" t="n">
        <f aca="false">COUNTIFS(Criba!$A$2:$A$352,$A58,Criba!$K$2:$K$352,"No")</f>
        <v>0</v>
      </c>
      <c r="F58" s="25" t="n">
        <f aca="false">B58-C58-D58-E58</f>
        <v>45</v>
      </c>
    </row>
    <row r="59" customFormat="false" ht="15" hidden="false" customHeight="true" outlineLevel="0" collapsed="false">
      <c r="A59" s="40" t="s">
        <v>980</v>
      </c>
      <c r="B59" s="25" t="n">
        <f aca="false">COUNTIF(Criba!$A$2:$A$352,A59)</f>
        <v>50</v>
      </c>
      <c r="C59" s="25" t="n">
        <f aca="false">COUNTIFS(Criba!$A$2:$A$352,$A59,Criba!$K$2:$K$352,"Sí")</f>
        <v>2</v>
      </c>
      <c r="D59" s="25" t="n">
        <f aca="false">COUNTIFS(Criba!$A$2:$A$352,$A59,Criba!$K$2:$K$352,"Quizá")</f>
        <v>0</v>
      </c>
      <c r="E59" s="25" t="n">
        <f aca="false">COUNTIFS(Criba!$A$2:$A$352,$A59,Criba!$K$2:$K$352,"No")</f>
        <v>0</v>
      </c>
      <c r="F59" s="25" t="n">
        <f aca="false">B59-C59-D59-E59</f>
        <v>48</v>
      </c>
    </row>
    <row r="60" customFormat="false" ht="15" hidden="false" customHeight="true" outlineLevel="0" collapsed="false">
      <c r="A60" s="41" t="s">
        <v>1130</v>
      </c>
      <c r="B60" s="25" t="n">
        <f aca="false">COUNTIF(Criba!$A$2:$A$352,A60)</f>
        <v>51</v>
      </c>
      <c r="C60" s="25" t="n">
        <f aca="false">COUNTIFS(Criba!$A$2:$A$352,$A60,Criba!$K$2:$K$352,"Sí")</f>
        <v>0</v>
      </c>
      <c r="D60" s="25" t="n">
        <f aca="false">COUNTIFS(Criba!$A$2:$A$352,$A60,Criba!$K$2:$K$352,"Quizá")</f>
        <v>0</v>
      </c>
      <c r="E60" s="25" t="n">
        <f aca="false">COUNTIFS(Criba!$A$2:$A$352,$A60,Criba!$K$2:$K$352,"No")</f>
        <v>0</v>
      </c>
      <c r="F60" s="25" t="n">
        <f aca="false">B60-C60-D60-E60</f>
        <v>51</v>
      </c>
    </row>
    <row r="61" customFormat="false" ht="15" hidden="false" customHeight="true" outlineLevel="0" collapsed="false">
      <c r="A61" s="32" t="s">
        <v>1571</v>
      </c>
      <c r="B61" s="32" t="n">
        <f aca="false">SUM(B54:B60)</f>
        <v>351</v>
      </c>
      <c r="C61" s="32" t="n">
        <f aca="false">SUM(C54:C60)</f>
        <v>76</v>
      </c>
      <c r="D61" s="32" t="n">
        <f aca="false">SUM(D54:D60)</f>
        <v>0</v>
      </c>
      <c r="E61" s="32" t="n">
        <f aca="false">SUM(E54:E60)</f>
        <v>0</v>
      </c>
      <c r="F61" s="32" t="n">
        <f aca="false">SUM(F54:F60)</f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2026-09-28T17:56:06Z</dcterms:created>
  <dc:creator>openpyxl</dc:creator>
  <dc:description/>
  <dc:language>en-US</dc:language>
  <cp:lastModifiedBy/>
  <dcterms:modified xsi:type="dcterms:W3CDTF">2026-09-29T06:47:14Z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